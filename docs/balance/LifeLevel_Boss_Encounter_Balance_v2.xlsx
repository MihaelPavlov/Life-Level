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Gear Loadout" sheetId="3" state="visible" r:id="rId5"/>
    <sheet name="Talent Loadout" sheetId="4" state="visible" r:id="rId6"/>
    <sheet name="Player Builds" sheetId="5" state="visible" r:id="rId7"/>
    <sheet name="Activity Scenarios" sheetId="6" state="visible" r:id="rId8"/>
    <sheet name="Boss Balanc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<sst xmlns="http://schemas.openxmlformats.org/spreadsheetml/2006/main" count="1356" uniqueCount="210">
  <si>
    <t xml:space="preserve">Life-Level Boss &amp; Encounter Balance Workbook</t>
  </si>
  <si>
    <t xml:space="preserve">Purpose</t>
  </si>
  <si>
    <t xml:space="preserve">Balance every boss using complete player builds: level, five stats, six equipped gear slots, all talent levels, previous boss victories, and actual workouts.</t>
  </si>
  <si>
    <t xml:space="preserve">Blue cells</t>
  </si>
  <si>
    <t xml:space="preserve">Designer inputs. Change these to test an encounter.</t>
  </si>
  <si>
    <t xml:space="preserve">Green cells</t>
  </si>
  <si>
    <t xml:space="preserve">Calculated outputs.</t>
  </si>
  <si>
    <t xml:space="preserve">Orange cells</t>
  </si>
  <si>
    <t xml:space="preserve">Implemented Combat V2 incoming-damage values.</t>
  </si>
  <si>
    <t xml:space="preserve">Current activity damage</t>
  </si>
  <si>
    <t xml:space="preserve">INT((calories × 0.5 + minutes + distanceKm × 3) × activity multiplier), then rounded after player damage modifiers.</t>
  </si>
  <si>
    <t xml:space="preserve">Current world boss HP</t>
  </si>
  <si>
    <t xml:space="preserve">Expected post-armor median hit × target turns (8 in chapters 1-4, 10 in 5-10, 12 in 11-15).</t>
  </si>
  <si>
    <t xml:space="preserve">Current guild raid HP</t>
  </si>
  <si>
    <t xml:space="preserve">Base boss HP × (0.75 + clamp(guild size, 1, 20) × 0.35).</t>
  </si>
  <si>
    <t xml:space="preserve">Armor</t>
  </si>
  <si>
    <t xml:space="preserve">Mitigation = Armor / (Armor + K); damage taken = raw damage × K / (Armor + K). Implemented for personal bosses and guild outgoing damage.</t>
  </si>
  <si>
    <t xml:space="preserve">Hits survived</t>
  </si>
  <si>
    <t xml:space="preserve">Player HP / damage per hit. This is an analysis metric; games normally calculate damage, not a hit counter.</t>
  </si>
  <si>
    <t xml:space="preserve">Workflow</t>
  </si>
  <si>
    <t xml:space="preserve">1) Edit Gear Loadout and Talent Loadout. 2) Edit base stats and previous victories in Player Builds. 3) Tune actual workouts. 4) Review Boss Balance.</t>
  </si>
  <si>
    <t xml:space="preserve">Code references</t>
  </si>
  <si>
    <t xml:space="preserve">BossService.CalculateDamageFromActivity; BossCombatCalculator; BossBalanceCalculator; WorldBossBridgeService; WorldSeedData.</t>
  </si>
  <si>
    <t xml:space="preserve">Global balance assumptions</t>
  </si>
  <si>
    <t xml:space="preserve">Value</t>
  </si>
  <si>
    <t xml:space="preserve">Notes</t>
  </si>
  <si>
    <t xml:space="preserve">Armor constant K</t>
  </si>
  <si>
    <t xml:space="preserve">Higher K makes armor weaker.</t>
  </si>
  <si>
    <t xml:space="preserve">Expected raw damage / workout</t>
  </si>
  <si>
    <t xml:space="preserve">Median tuning hit before player multiplier, boss bonus, and boss armor.</t>
  </si>
  <si>
    <t xml:space="preserve">Player damage multiplier</t>
  </si>
  <si>
    <t xml:space="preserve">Current combat-stat multiplier.</t>
  </si>
  <si>
    <t xml:space="preserve">Boss-active bonus</t>
  </si>
  <si>
    <t xml:space="preserve">Percent talent bonus.</t>
  </si>
  <si>
    <t xml:space="preserve">Expected workouts / day</t>
  </si>
  <si>
    <t xml:space="preserve">Used to estimate calendar days.</t>
  </si>
  <si>
    <t xml:space="preserve">Default player HP</t>
  </si>
  <si>
    <t xml:space="preserve">For proposed incoming boss attacks.</t>
  </si>
  <si>
    <t xml:space="preserve">Default player armor</t>
  </si>
  <si>
    <t xml:space="preserve">Default boss raw hit</t>
  </si>
  <si>
    <t xml:space="preserve">Recovery hours</t>
  </si>
  <si>
    <t xml:space="preserve">Workouts still earn rewards while personal-boss attacks are paused.</t>
  </si>
  <si>
    <t xml:space="preserve">Guild size</t>
  </si>
  <si>
    <t xml:space="preserve">Used on the guild calculator below.</t>
  </si>
  <si>
    <t xml:space="preserve">Guild HP multiplier</t>
  </si>
  <si>
    <t xml:space="preserve">Matches current backend.</t>
  </si>
  <si>
    <t xml:space="preserve">Guild reward multiplier</t>
  </si>
  <si>
    <t xml:space="preserve">Profile</t>
  </si>
  <si>
    <t xml:space="preserve">Boss</t>
  </si>
  <si>
    <t xml:space="preserve">Slot</t>
  </si>
  <si>
    <t xml:space="preserve">Equipped item</t>
  </si>
  <si>
    <t xml:space="preserve">Equipped? (1/0)</t>
  </si>
  <si>
    <t xml:space="preserve">STR</t>
  </si>
  <si>
    <t xml:space="preserve">AGI</t>
  </si>
  <si>
    <t xml:space="preserve">END</t>
  </si>
  <si>
    <t xml:space="preserve">FLX</t>
  </si>
  <si>
    <t xml:space="preserve">STA</t>
  </si>
  <si>
    <t xml:space="preserve">XP bonus %</t>
  </si>
  <si>
    <t xml:space="preserve">Forest Warden</t>
  </si>
  <si>
    <t xml:space="preserve">Head</t>
  </si>
  <si>
    <t xml:space="preserve">Chest</t>
  </si>
  <si>
    <t xml:space="preserve">Hands</t>
  </si>
  <si>
    <t xml:space="preserve">Feet</t>
  </si>
  <si>
    <t xml:space="preserve">Accessory1</t>
  </si>
  <si>
    <t xml:space="preserve">Legs</t>
  </si>
  <si>
    <t xml:space="preserve">Tide Sovereign</t>
  </si>
  <si>
    <t xml:space="preserve">Stone Titan</t>
  </si>
  <si>
    <t xml:space="preserve">Molten King</t>
  </si>
  <si>
    <t xml:space="preserve">Hoarfrost Queen</t>
  </si>
  <si>
    <t xml:space="preserve">Dune Pharaoh</t>
  </si>
  <si>
    <t xml:space="preserve">Bramble Lord</t>
  </si>
  <si>
    <t xml:space="preserve">Pearl Leviathan</t>
  </si>
  <si>
    <t xml:space="preserve">Storm Sovereign</t>
  </si>
  <si>
    <t xml:space="preserve">Cinder Archon</t>
  </si>
  <si>
    <t xml:space="preserve">Deepfrost Wyrm</t>
  </si>
  <si>
    <t xml:space="preserve">Sand Kaiser</t>
  </si>
  <si>
    <t xml:space="preserve">Thornwarden</t>
  </si>
  <si>
    <t xml:space="preserve">Maw of the Deep</t>
  </si>
  <si>
    <t xml:space="preserve">Worldflame</t>
  </si>
  <si>
    <t xml:space="preserve">Talent</t>
  </si>
  <si>
    <t xml:space="preserve">Effect type</t>
  </si>
  <si>
    <t xml:space="preserve">Per-level value</t>
  </si>
  <si>
    <t xml:space="preserve">Talent level (0-10)</t>
  </si>
  <si>
    <t xml:space="preserve">Total effect</t>
  </si>
  <si>
    <t xml:space="preserve">Affects boss damage?</t>
  </si>
  <si>
    <t xml:space="preserve">Iron Grip</t>
  </si>
  <si>
    <t xml:space="preserve">StatStrength</t>
  </si>
  <si>
    <t xml:space="preserve">Yes</t>
  </si>
  <si>
    <t xml:space="preserve">Deep Lungs</t>
  </si>
  <si>
    <t xml:space="preserve">StatEndurance</t>
  </si>
  <si>
    <t xml:space="preserve">Fast Twitch</t>
  </si>
  <si>
    <t xml:space="preserve">StatAgility</t>
  </si>
  <si>
    <t xml:space="preserve">Loose Joints</t>
  </si>
  <si>
    <t xml:space="preserve">StatFlexibility</t>
  </si>
  <si>
    <t xml:space="preserve">Second Engine</t>
  </si>
  <si>
    <t xml:space="preserve">StatStamina</t>
  </si>
  <si>
    <t xml:space="preserve">Focused Training</t>
  </si>
  <si>
    <t xml:space="preserve">ActivityXpPct</t>
  </si>
  <si>
    <t xml:space="preserve">No</t>
  </si>
  <si>
    <t xml:space="preserve">Morning Momentum</t>
  </si>
  <si>
    <t xml:space="preserve">MorningXpPct</t>
  </si>
  <si>
    <t xml:space="preserve">Runner's High</t>
  </si>
  <si>
    <t xml:space="preserve">CardioXpPct</t>
  </si>
  <si>
    <t xml:space="preserve">Iron Discipline</t>
  </si>
  <si>
    <t xml:space="preserve">StrengthStyleXpPct</t>
  </si>
  <si>
    <t xml:space="preserve">Quest Zeal</t>
  </si>
  <si>
    <t xml:space="preserve">QuestXpPct</t>
  </si>
  <si>
    <t xml:space="preserve">Second Wind</t>
  </si>
  <si>
    <t xml:space="preserve">SecondWind</t>
  </si>
  <si>
    <t xml:space="preserve">Steel Resolve</t>
  </si>
  <si>
    <t xml:space="preserve">ComebackXpPct</t>
  </si>
  <si>
    <t xml:space="preserve">Shield Craft</t>
  </si>
  <si>
    <t xml:space="preserve">ShieldPerLevel</t>
  </si>
  <si>
    <t xml:space="preserve">Direct Hit</t>
  </si>
  <si>
    <t xml:space="preserve">BossDamagePct</t>
  </si>
  <si>
    <t xml:space="preserve">Boss Instinct</t>
  </si>
  <si>
    <t xml:space="preserve">BossActiveDamagePct</t>
  </si>
  <si>
    <t xml:space="preserve">Fair Exchange</t>
  </si>
  <si>
    <t xml:space="preserve">DropChancePct</t>
  </si>
  <si>
    <t xml:space="preserve">Level</t>
  </si>
  <si>
    <t xml:space="preserve">Base STR</t>
  </si>
  <si>
    <t xml:space="preserve">Base AGI</t>
  </si>
  <si>
    <t xml:space="preserve">Base END</t>
  </si>
  <si>
    <t xml:space="preserve">Base FLX</t>
  </si>
  <si>
    <t xml:space="preserve">Base STA</t>
  </si>
  <si>
    <t xml:space="preserve">Previous boss victories</t>
  </si>
  <si>
    <t xml:space="preserve">Gear STR</t>
  </si>
  <si>
    <t xml:space="preserve">Gear AGI</t>
  </si>
  <si>
    <t xml:space="preserve">Gear END</t>
  </si>
  <si>
    <t xml:space="preserve">Gear FLX</t>
  </si>
  <si>
    <t xml:space="preserve">Gear STA</t>
  </si>
  <si>
    <t xml:space="preserve">Talent STR</t>
  </si>
  <si>
    <t xml:space="preserve">Talent AGI</t>
  </si>
  <si>
    <t xml:space="preserve">Talent END</t>
  </si>
  <si>
    <t xml:space="preserve">Talent FLX</t>
  </si>
  <si>
    <t xml:space="preserve">Talent STA</t>
  </si>
  <si>
    <t xml:space="preserve">Boss damage %</t>
  </si>
  <si>
    <t xml:space="preserve">Boss-active damage %</t>
  </si>
  <si>
    <t xml:space="preserve">Effective STR</t>
  </si>
  <si>
    <t xml:space="preserve">Effective AGI</t>
  </si>
  <si>
    <t xml:space="preserve">Effective END</t>
  </si>
  <si>
    <t xml:space="preserve">Effective FLX</t>
  </si>
  <si>
    <t xml:space="preserve">Effective STA</t>
  </si>
  <si>
    <t xml:space="preserve">Attack</t>
  </si>
  <si>
    <t xml:space="preserve">Defense</t>
  </si>
  <si>
    <t xml:space="preserve">Health</t>
  </si>
  <si>
    <t xml:space="preserve">Power</t>
  </si>
  <si>
    <t xml:space="preserve">Damage multiplier</t>
  </si>
  <si>
    <t xml:space="preserve">Selected workout damage</t>
  </si>
  <si>
    <t xml:space="preserve">Final boss damage/workout</t>
  </si>
  <si>
    <t xml:space="preserve">Activity</t>
  </si>
  <si>
    <t xml:space="preserve">Multiplier</t>
  </si>
  <si>
    <t xml:space="preserve">Minutes</t>
  </si>
  <si>
    <t xml:space="preserve">Distance km</t>
  </si>
  <si>
    <t xml:space="preserve">Calories</t>
  </si>
  <si>
    <t xml:space="preserve">Base damage</t>
  </si>
  <si>
    <t xml:space="preserve">Raw damage</t>
  </si>
  <si>
    <t xml:space="preserve">With player multiplier</t>
  </si>
  <si>
    <t xml:space="preserve">Climbing</t>
  </si>
  <si>
    <t xml:space="preserve">Editable representative workout</t>
  </si>
  <si>
    <t xml:space="preserve">Running</t>
  </si>
  <si>
    <t xml:space="preserve">Swimming</t>
  </si>
  <si>
    <t xml:space="preserve">Gym</t>
  </si>
  <si>
    <t xml:space="preserve">Cycling</t>
  </si>
  <si>
    <t xml:space="preserve">Hiking</t>
  </si>
  <si>
    <t xml:space="preserve">Yoga</t>
  </si>
  <si>
    <t xml:space="preserve">Other</t>
  </si>
  <si>
    <t xml:space="preserve">Chapter</t>
  </si>
  <si>
    <t xml:space="preserve">Region</t>
  </si>
  <si>
    <t xml:space="preserve">Required level</t>
  </si>
  <si>
    <t xml:space="preserve">Tier</t>
  </si>
  <si>
    <t xml:space="preserve">Type</t>
  </si>
  <si>
    <t xml:space="preserve">Boss HP</t>
  </si>
  <si>
    <t xml:space="preserve">Reward XP</t>
  </si>
  <si>
    <t xml:space="preserve">Timer days</t>
  </si>
  <si>
    <t xml:space="preserve">Raw dmg/workout</t>
  </si>
  <si>
    <t xml:space="preserve">Player dmg mult</t>
  </si>
  <si>
    <t xml:space="preserve">Boss bonus %</t>
  </si>
  <si>
    <t xml:space="preserve">Boss armor</t>
  </si>
  <si>
    <t xml:space="preserve">Armor K</t>
  </si>
  <si>
    <t xml:space="preserve">Boss mitigation</t>
  </si>
  <si>
    <t xml:space="preserve">Effective dmg/workout</t>
  </si>
  <si>
    <t xml:space="preserve">Target workouts</t>
  </si>
  <si>
    <t xml:space="preserve">Calculated workouts</t>
  </si>
  <si>
    <t xml:space="preserve">Workouts/day</t>
  </si>
  <si>
    <t xml:space="preserve">Days to win</t>
  </si>
  <si>
    <t xml:space="preserve">Timer check</t>
  </si>
  <si>
    <t xml:space="preserve">Reward XP/workout</t>
  </si>
  <si>
    <t xml:space="preserve">Player HP</t>
  </si>
  <si>
    <t xml:space="preserve">Player defense</t>
  </si>
  <si>
    <t xml:space="preserve">Boss counterattack</t>
  </si>
  <si>
    <t xml:space="preserve">Player mitigation</t>
  </si>
  <si>
    <t xml:space="preserve">Damage taken/turn</t>
  </si>
  <si>
    <t xml:space="preserve">Target hits survived</t>
  </si>
  <si>
    <t xml:space="preserve">Forest of Endurance</t>
  </si>
  <si>
    <t xml:space="preserve">World Boss</t>
  </si>
  <si>
    <t xml:space="preserve">Ocean of Balance</t>
  </si>
  <si>
    <t xml:space="preserve">Mountains of Strength</t>
  </si>
  <si>
    <t xml:space="preserve">Ashen Caldera</t>
  </si>
  <si>
    <t xml:space="preserve">Frostspire Tundra</t>
  </si>
  <si>
    <t xml:space="preserve">Sunscorch Dunes</t>
  </si>
  <si>
    <t xml:space="preserve">Shadewood Deep</t>
  </si>
  <si>
    <t xml:space="preserve">Moonlit Reef</t>
  </si>
  <si>
    <t xml:space="preserve">Thunderpeak Range</t>
  </si>
  <si>
    <t xml:space="preserve">Emberfall Crater</t>
  </si>
  <si>
    <t xml:space="preserve">Glacier Abyss</t>
  </si>
  <si>
    <t xml:space="preserve">Mirage Wastes</t>
  </si>
  <si>
    <t xml:space="preserve">Verdant Spine</t>
  </si>
  <si>
    <t xml:space="preserve">Abyssal Trench</t>
  </si>
  <si>
    <t xml:space="preserve">Apex Caldera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</si>
</sst>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b val="true"/>
      <sz val="10"/>
      <name val="Arial"/>
      <family val="2"/>
    </font>
    <font>
      <b val="true"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233C"/>
        <bgColor rgb="FF003366"/>
      </patternFill>
    </fill>
    <fill>
      <patternFill patternType="solid">
        <fgColor rgb="FFE9EDF3"/>
        <bgColor rgb="FFDDEBFF"/>
      </patternFill>
    </fill>
    <fill>
      <patternFill patternType="solid">
        <fgColor rgb="FFDDEBFF"/>
        <bgColor rgb="FFE9EDF3"/>
      </patternFill>
    </fill>
    <fill>
      <patternFill patternType="solid">
        <fgColor rgb="FFDDF4E8"/>
        <bgColor rgb="FFE9EDF3"/>
      </patternFill>
    </fill>
    <fill>
      <patternFill patternType="solid">
        <fgColor rgb="FFFDEBD0"/>
        <bgColor rgb="FFFFF3E5"/>
      </patternFill>
    </fill>
    <fill>
      <patternFill patternType="solid">
        <fgColor rgb="FFFFF3E5"/>
        <bgColor rgb="FFFDEBD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5"/>
      <rgbColor rgb="FFDD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F"/>
      <rgbColor rgb="FFE9EDF3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3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56"/>
    <col collapsed="false" customWidth="true" hidden="false" outlineLevel="0" max="2" min="2" style="0" width="107.2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2.8" hidden="false" customHeight="false" outlineLevel="0" collapsed="false">
      <c r="A4" s="2" t="s">
        <v>3</v>
      </c>
      <c r="B4" s="3" t="s">
        <v>4</v>
      </c>
    </row>
    <row r="5" customFormat="false" ht="12.8" hidden="false" customHeight="false" outlineLevel="0" collapsed="false">
      <c r="A5" s="2" t="s">
        <v>5</v>
      </c>
      <c r="B5" s="3" t="s">
        <v>6</v>
      </c>
    </row>
    <row r="6" customFormat="false" ht="12.8" hidden="false" customHeight="false" outlineLevel="0" collapsed="false">
      <c r="A6" s="2" t="s">
        <v>7</v>
      </c>
      <c r="B6" s="3" t="s">
        <v>8</v>
      </c>
    </row>
    <row r="7" customFormat="false" ht="12.8" hidden="false" customHeight="false" outlineLevel="0" collapsed="false">
      <c r="A7" s="2" t="s">
        <v>9</v>
      </c>
      <c r="B7" s="3" t="s">
        <v>10</v>
      </c>
    </row>
    <row r="8" customFormat="false" ht="12.8" hidden="false" customHeight="false" outlineLevel="0" collapsed="false">
      <c r="A8" s="2" t="s">
        <v>11</v>
      </c>
      <c r="B8" s="3" t="s">
        <v>12</v>
      </c>
    </row>
    <row r="9" customFormat="false" ht="12.8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2.8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73"/>
    <col collapsed="false" customWidth="true" hidden="false" outlineLevel="0" max="2" min="2" style="0" width="19.4"/>
    <col collapsed="false" customWidth="true" hidden="false" outlineLevel="0" max="3" min="3" style="0" width="63.85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</row>
    <row r="2" customFormat="false" ht="12.8" hidden="false" customHeight="false" outlineLevel="0" collapsed="false">
      <c r="A2" s="0" t="s">
        <v>26</v>
      </c>
      <c r="B2" s="5" t="n">
        <v>100</v>
      </c>
      <c r="C2" s="3" t="s">
        <v>27</v>
      </c>
    </row>
    <row r="3" customFormat="false" ht="12.8" hidden="false" customHeight="false" outlineLevel="0" collapsed="false">
      <c r="A3" s="0" t="s">
        <v>28</v>
      </c>
      <c r="B3" s="5" t="n">
        <v>250</v>
      </c>
      <c r="C3" s="3" t="s">
        <v>29</v>
      </c>
    </row>
    <row r="4" customFormat="false" ht="12.8" hidden="false" customHeight="false" outlineLevel="0" collapsed="false">
      <c r="A4" s="0" t="s">
        <v>30</v>
      </c>
      <c r="B4" s="5" t="n">
        <v>1</v>
      </c>
      <c r="C4" s="3" t="s">
        <v>31</v>
      </c>
    </row>
    <row r="5" customFormat="false" ht="12.8" hidden="false" customHeight="false" outlineLevel="0" collapsed="false">
      <c r="A5" s="0" t="s">
        <v>32</v>
      </c>
      <c r="B5" s="5" t="n">
        <v>0</v>
      </c>
      <c r="C5" s="3" t="s">
        <v>33</v>
      </c>
    </row>
    <row r="6" customFormat="false" ht="12.8" hidden="false" customHeight="false" outlineLevel="0" collapsed="false">
      <c r="A6" s="0" t="s">
        <v>34</v>
      </c>
      <c r="B6" s="5" t="n">
        <v>0.75</v>
      </c>
      <c r="C6" s="3" t="s">
        <v>35</v>
      </c>
    </row>
    <row r="7" customFormat="false" ht="12.8" hidden="false" customHeight="false" outlineLevel="0" collapsed="false">
      <c r="A7" s="0" t="s">
        <v>36</v>
      </c>
      <c r="B7" s="5" t="n">
        <v>440</v>
      </c>
      <c r="C7" s="3" t="s">
        <v>37</v>
      </c>
    </row>
    <row r="8" customFormat="false" ht="12.8" hidden="false" customHeight="false" outlineLevel="0" collapsed="false">
      <c r="A8" s="0" t="s">
        <v>38</v>
      </c>
      <c r="B8" s="5" t="n">
        <v>0</v>
      </c>
      <c r="C8" s="3" t="s">
        <v>37</v>
      </c>
    </row>
    <row r="9" customFormat="false" ht="12.8" hidden="false" customHeight="false" outlineLevel="0" collapsed="false">
      <c r="A9" s="0" t="s">
        <v>39</v>
      </c>
      <c r="B9" s="5" t="n">
        <v>50</v>
      </c>
      <c r="C9" s="3" t="s">
        <v>37</v>
      </c>
    </row>
    <row r="10" customFormat="false" ht="12.8" hidden="false" customHeight="false" outlineLevel="0" collapsed="false">
      <c r="A10" s="0" t="s">
        <v>40</v>
      </c>
      <c r="B10" s="5" t="n">
        <v>12</v>
      </c>
      <c r="C10" s="3" t="s">
        <v>41</v>
      </c>
    </row>
    <row r="11" customFormat="false" ht="12.8" hidden="false" customHeight="false" outlineLevel="0" collapsed="false">
      <c r="A11" s="0" t="s">
        <v>42</v>
      </c>
      <c r="B11" s="5" t="n">
        <v>4</v>
      </c>
      <c r="C11" s="3" t="s">
        <v>43</v>
      </c>
    </row>
    <row r="12" customFormat="false" ht="12.8" hidden="false" customHeight="false" outlineLevel="0" collapsed="false">
      <c r="A12" s="0" t="s">
        <v>44</v>
      </c>
      <c r="B12" s="6" t="n">
        <f aca="false">0.75+MIN(20,MAX(1,B11))*0.35</f>
        <v>2.15</v>
      </c>
      <c r="C12" s="3" t="s">
        <v>45</v>
      </c>
    </row>
    <row r="13" customFormat="false" ht="12.8" hidden="false" customHeight="false" outlineLevel="0" collapsed="false">
      <c r="A13" s="0" t="s">
        <v>46</v>
      </c>
      <c r="B13" s="6" t="n">
        <f aca="false">1+(B12-1)*0.35</f>
        <v>1.4025</v>
      </c>
      <c r="C13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6"/>
    <col collapsed="false" customWidth="true" hidden="false" outlineLevel="0" max="2" min="2" style="0" width="24.01"/>
    <col collapsed="false" customWidth="true" hidden="false" outlineLevel="0" max="3" min="3" style="0" width="16.34"/>
    <col collapsed="false" customWidth="true" hidden="false" outlineLevel="0" max="4" min="4" style="0" width="31.67"/>
    <col collapsed="false" customWidth="true" hidden="false" outlineLevel="0" max="5" min="5" style="0" width="17.88"/>
    <col collapsed="false" customWidth="true" hidden="false" outlineLevel="0" max="10" min="6" style="0" width="12.26"/>
    <col collapsed="false" customWidth="true" hidden="false" outlineLevel="0" max="11" min="11" style="0" width="15.32"/>
  </cols>
  <sheetData>
    <row r="1" customFormat="false" ht="12.8" hidden="false" customHeight="false" outlineLevel="0" collapsed="false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</row>
    <row r="2" customFormat="false" ht="12.8" hidden="false" customHeight="false" outlineLevel="0" collapsed="false">
      <c r="A2" s="0" t="n">
        <v>1</v>
      </c>
      <c r="B2" s="0" t="s">
        <v>58</v>
      </c>
      <c r="C2" s="0" t="s">
        <v>59</v>
      </c>
      <c r="D2" s="7"/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 customFormat="false" ht="12.8" hidden="false" customHeight="false" outlineLevel="0" collapsed="false">
      <c r="A3" s="0" t="n">
        <v>1</v>
      </c>
      <c r="B3" s="0" t="s">
        <v>58</v>
      </c>
      <c r="C3" s="0" t="s">
        <v>60</v>
      </c>
      <c r="D3" s="7"/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 customFormat="false" ht="12.8" hidden="false" customHeight="false" outlineLevel="0" collapsed="false">
      <c r="A4" s="0" t="n">
        <v>1</v>
      </c>
      <c r="B4" s="0" t="s">
        <v>58</v>
      </c>
      <c r="C4" s="0" t="s">
        <v>61</v>
      </c>
      <c r="D4" s="7"/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</row>
    <row r="5" customFormat="false" ht="12.8" hidden="false" customHeight="false" outlineLevel="0" collapsed="false">
      <c r="A5" s="0" t="n">
        <v>1</v>
      </c>
      <c r="B5" s="0" t="s">
        <v>58</v>
      </c>
      <c r="C5" s="0" t="s">
        <v>62</v>
      </c>
      <c r="D5" s="7"/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</row>
    <row r="6" customFormat="false" ht="12.8" hidden="false" customHeight="false" outlineLevel="0" collapsed="false">
      <c r="A6" s="0" t="n">
        <v>1</v>
      </c>
      <c r="B6" s="0" t="s">
        <v>58</v>
      </c>
      <c r="C6" s="0" t="s">
        <v>63</v>
      </c>
      <c r="D6" s="7"/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</row>
    <row r="7" customFormat="false" ht="12.8" hidden="false" customHeight="false" outlineLevel="0" collapsed="false">
      <c r="A7" s="0" t="n">
        <v>1</v>
      </c>
      <c r="B7" s="0" t="s">
        <v>58</v>
      </c>
      <c r="C7" s="0" t="s">
        <v>64</v>
      </c>
      <c r="D7" s="7"/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 customFormat="false" ht="12.8" hidden="false" customHeight="false" outlineLevel="0" collapsed="false">
      <c r="A8" s="0" t="n">
        <v>2</v>
      </c>
      <c r="B8" s="0" t="s">
        <v>65</v>
      </c>
      <c r="C8" s="0" t="s">
        <v>59</v>
      </c>
      <c r="D8" s="7"/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 customFormat="false" ht="12.8" hidden="false" customHeight="false" outlineLevel="0" collapsed="false">
      <c r="A9" s="0" t="n">
        <v>2</v>
      </c>
      <c r="B9" s="0" t="s">
        <v>65</v>
      </c>
      <c r="C9" s="0" t="s">
        <v>60</v>
      </c>
      <c r="D9" s="7"/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customFormat="false" ht="12.8" hidden="false" customHeight="false" outlineLevel="0" collapsed="false">
      <c r="A10" s="0" t="n">
        <v>2</v>
      </c>
      <c r="B10" s="0" t="s">
        <v>65</v>
      </c>
      <c r="C10" s="0" t="s">
        <v>61</v>
      </c>
      <c r="D10" s="7"/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customFormat="false" ht="12.8" hidden="false" customHeight="false" outlineLevel="0" collapsed="false">
      <c r="A11" s="0" t="n">
        <v>2</v>
      </c>
      <c r="B11" s="0" t="s">
        <v>65</v>
      </c>
      <c r="C11" s="0" t="s">
        <v>62</v>
      </c>
      <c r="D11" s="7"/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customFormat="false" ht="12.8" hidden="false" customHeight="false" outlineLevel="0" collapsed="false">
      <c r="A12" s="0" t="n">
        <v>2</v>
      </c>
      <c r="B12" s="0" t="s">
        <v>65</v>
      </c>
      <c r="C12" s="0" t="s">
        <v>63</v>
      </c>
      <c r="D12" s="7"/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 customFormat="false" ht="12.8" hidden="false" customHeight="false" outlineLevel="0" collapsed="false">
      <c r="A13" s="0" t="n">
        <v>2</v>
      </c>
      <c r="B13" s="0" t="s">
        <v>65</v>
      </c>
      <c r="C13" s="0" t="s">
        <v>64</v>
      </c>
      <c r="D13" s="7"/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</row>
    <row r="14" customFormat="false" ht="12.8" hidden="false" customHeight="false" outlineLevel="0" collapsed="false">
      <c r="A14" s="0" t="n">
        <v>3</v>
      </c>
      <c r="B14" s="0" t="s">
        <v>66</v>
      </c>
      <c r="C14" s="0" t="s">
        <v>59</v>
      </c>
      <c r="D14" s="7"/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 customFormat="false" ht="12.8" hidden="false" customHeight="false" outlineLevel="0" collapsed="false">
      <c r="A15" s="0" t="n">
        <v>3</v>
      </c>
      <c r="B15" s="0" t="s">
        <v>66</v>
      </c>
      <c r="C15" s="0" t="s">
        <v>60</v>
      </c>
      <c r="D15" s="7"/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</row>
    <row r="16" customFormat="false" ht="12.8" hidden="false" customHeight="false" outlineLevel="0" collapsed="false">
      <c r="A16" s="0" t="n">
        <v>3</v>
      </c>
      <c r="B16" s="0" t="s">
        <v>66</v>
      </c>
      <c r="C16" s="0" t="s">
        <v>61</v>
      </c>
      <c r="D16" s="7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 customFormat="false" ht="12.8" hidden="false" customHeight="false" outlineLevel="0" collapsed="false">
      <c r="A17" s="0" t="n">
        <v>3</v>
      </c>
      <c r="B17" s="0" t="s">
        <v>66</v>
      </c>
      <c r="C17" s="0" t="s">
        <v>62</v>
      </c>
      <c r="D17" s="7"/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</row>
    <row r="18" customFormat="false" ht="12.8" hidden="false" customHeight="false" outlineLevel="0" collapsed="false">
      <c r="A18" s="0" t="n">
        <v>3</v>
      </c>
      <c r="B18" s="0" t="s">
        <v>66</v>
      </c>
      <c r="C18" s="0" t="s">
        <v>63</v>
      </c>
      <c r="D18" s="7"/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 customFormat="false" ht="12.8" hidden="false" customHeight="false" outlineLevel="0" collapsed="false">
      <c r="A19" s="0" t="n">
        <v>3</v>
      </c>
      <c r="B19" s="0" t="s">
        <v>66</v>
      </c>
      <c r="C19" s="0" t="s">
        <v>64</v>
      </c>
      <c r="D19" s="7"/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</row>
    <row r="20" customFormat="false" ht="12.8" hidden="false" customHeight="false" outlineLevel="0" collapsed="false">
      <c r="A20" s="0" t="n">
        <v>4</v>
      </c>
      <c r="B20" s="0" t="s">
        <v>67</v>
      </c>
      <c r="C20" s="0" t="s">
        <v>59</v>
      </c>
      <c r="D20" s="7"/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 customFormat="false" ht="12.8" hidden="false" customHeight="false" outlineLevel="0" collapsed="false">
      <c r="A21" s="0" t="n">
        <v>4</v>
      </c>
      <c r="B21" s="0" t="s">
        <v>67</v>
      </c>
      <c r="C21" s="0" t="s">
        <v>60</v>
      </c>
      <c r="D21" s="7"/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 customFormat="false" ht="12.8" hidden="false" customHeight="false" outlineLevel="0" collapsed="false">
      <c r="A22" s="0" t="n">
        <v>4</v>
      </c>
      <c r="B22" s="0" t="s">
        <v>67</v>
      </c>
      <c r="C22" s="0" t="s">
        <v>61</v>
      </c>
      <c r="D22" s="7"/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 customFormat="false" ht="12.8" hidden="false" customHeight="false" outlineLevel="0" collapsed="false">
      <c r="A23" s="0" t="n">
        <v>4</v>
      </c>
      <c r="B23" s="0" t="s">
        <v>67</v>
      </c>
      <c r="C23" s="0" t="s">
        <v>62</v>
      </c>
      <c r="D23" s="7"/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</row>
    <row r="24" customFormat="false" ht="12.8" hidden="false" customHeight="false" outlineLevel="0" collapsed="false">
      <c r="A24" s="0" t="n">
        <v>4</v>
      </c>
      <c r="B24" s="0" t="s">
        <v>67</v>
      </c>
      <c r="C24" s="0" t="s">
        <v>63</v>
      </c>
      <c r="D24" s="7"/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</row>
    <row r="25" customFormat="false" ht="12.8" hidden="false" customHeight="false" outlineLevel="0" collapsed="false">
      <c r="A25" s="0" t="n">
        <v>4</v>
      </c>
      <c r="B25" s="0" t="s">
        <v>67</v>
      </c>
      <c r="C25" s="0" t="s">
        <v>64</v>
      </c>
      <c r="D25" s="7"/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</row>
    <row r="26" customFormat="false" ht="12.8" hidden="false" customHeight="false" outlineLevel="0" collapsed="false">
      <c r="A26" s="0" t="n">
        <v>5</v>
      </c>
      <c r="B26" s="0" t="s">
        <v>68</v>
      </c>
      <c r="C26" s="0" t="s">
        <v>59</v>
      </c>
      <c r="D26" s="7"/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</row>
    <row r="27" customFormat="false" ht="12.8" hidden="false" customHeight="false" outlineLevel="0" collapsed="false">
      <c r="A27" s="0" t="n">
        <v>5</v>
      </c>
      <c r="B27" s="0" t="s">
        <v>68</v>
      </c>
      <c r="C27" s="0" t="s">
        <v>60</v>
      </c>
      <c r="D27" s="7"/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 customFormat="false" ht="12.8" hidden="false" customHeight="false" outlineLevel="0" collapsed="false">
      <c r="A28" s="0" t="n">
        <v>5</v>
      </c>
      <c r="B28" s="0" t="s">
        <v>68</v>
      </c>
      <c r="C28" s="0" t="s">
        <v>61</v>
      </c>
      <c r="D28" s="7"/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</row>
    <row r="29" customFormat="false" ht="12.8" hidden="false" customHeight="false" outlineLevel="0" collapsed="false">
      <c r="A29" s="0" t="n">
        <v>5</v>
      </c>
      <c r="B29" s="0" t="s">
        <v>68</v>
      </c>
      <c r="C29" s="0" t="s">
        <v>62</v>
      </c>
      <c r="D29" s="7"/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</row>
    <row r="30" customFormat="false" ht="12.8" hidden="false" customHeight="false" outlineLevel="0" collapsed="false">
      <c r="A30" s="0" t="n">
        <v>5</v>
      </c>
      <c r="B30" s="0" t="s">
        <v>68</v>
      </c>
      <c r="C30" s="0" t="s">
        <v>63</v>
      </c>
      <c r="D30" s="7"/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 customFormat="false" ht="12.8" hidden="false" customHeight="false" outlineLevel="0" collapsed="false">
      <c r="A31" s="0" t="n">
        <v>5</v>
      </c>
      <c r="B31" s="0" t="s">
        <v>68</v>
      </c>
      <c r="C31" s="0" t="s">
        <v>64</v>
      </c>
      <c r="D31" s="7"/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 customFormat="false" ht="12.8" hidden="false" customHeight="false" outlineLevel="0" collapsed="false">
      <c r="A32" s="0" t="n">
        <v>6</v>
      </c>
      <c r="B32" s="0" t="s">
        <v>69</v>
      </c>
      <c r="C32" s="0" t="s">
        <v>59</v>
      </c>
      <c r="D32" s="7"/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  <row r="33" customFormat="false" ht="12.8" hidden="false" customHeight="false" outlineLevel="0" collapsed="false">
      <c r="A33" s="0" t="n">
        <v>6</v>
      </c>
      <c r="B33" s="0" t="s">
        <v>69</v>
      </c>
      <c r="C33" s="0" t="s">
        <v>60</v>
      </c>
      <c r="D33" s="7"/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</row>
    <row r="34" customFormat="false" ht="12.8" hidden="false" customHeight="false" outlineLevel="0" collapsed="false">
      <c r="A34" s="0" t="n">
        <v>6</v>
      </c>
      <c r="B34" s="0" t="s">
        <v>69</v>
      </c>
      <c r="C34" s="0" t="s">
        <v>61</v>
      </c>
      <c r="D34" s="7"/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</row>
    <row r="35" customFormat="false" ht="12.8" hidden="false" customHeight="false" outlineLevel="0" collapsed="false">
      <c r="A35" s="0" t="n">
        <v>6</v>
      </c>
      <c r="B35" s="0" t="s">
        <v>69</v>
      </c>
      <c r="C35" s="0" t="s">
        <v>62</v>
      </c>
      <c r="D35" s="7"/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</row>
    <row r="36" customFormat="false" ht="12.8" hidden="false" customHeight="false" outlineLevel="0" collapsed="false">
      <c r="A36" s="0" t="n">
        <v>6</v>
      </c>
      <c r="B36" s="0" t="s">
        <v>69</v>
      </c>
      <c r="C36" s="0" t="s">
        <v>63</v>
      </c>
      <c r="D36" s="7"/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</row>
    <row r="37" customFormat="false" ht="12.8" hidden="false" customHeight="false" outlineLevel="0" collapsed="false">
      <c r="A37" s="0" t="n">
        <v>6</v>
      </c>
      <c r="B37" s="0" t="s">
        <v>69</v>
      </c>
      <c r="C37" s="0" t="s">
        <v>64</v>
      </c>
      <c r="D37" s="7"/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</row>
    <row r="38" customFormat="false" ht="12.8" hidden="false" customHeight="false" outlineLevel="0" collapsed="false">
      <c r="A38" s="0" t="n">
        <v>7</v>
      </c>
      <c r="B38" s="0" t="s">
        <v>70</v>
      </c>
      <c r="C38" s="0" t="s">
        <v>59</v>
      </c>
      <c r="D38" s="7"/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 customFormat="false" ht="12.8" hidden="false" customHeight="false" outlineLevel="0" collapsed="false">
      <c r="A39" s="0" t="n">
        <v>7</v>
      </c>
      <c r="B39" s="0" t="s">
        <v>70</v>
      </c>
      <c r="C39" s="0" t="s">
        <v>60</v>
      </c>
      <c r="D39" s="7"/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</row>
    <row r="40" customFormat="false" ht="12.8" hidden="false" customHeight="false" outlineLevel="0" collapsed="false">
      <c r="A40" s="0" t="n">
        <v>7</v>
      </c>
      <c r="B40" s="0" t="s">
        <v>70</v>
      </c>
      <c r="C40" s="0" t="s">
        <v>61</v>
      </c>
      <c r="D40" s="7"/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 customFormat="false" ht="12.8" hidden="false" customHeight="false" outlineLevel="0" collapsed="false">
      <c r="A41" s="0" t="n">
        <v>7</v>
      </c>
      <c r="B41" s="0" t="s">
        <v>70</v>
      </c>
      <c r="C41" s="0" t="s">
        <v>62</v>
      </c>
      <c r="D41" s="7"/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</row>
    <row r="42" customFormat="false" ht="12.8" hidden="false" customHeight="false" outlineLevel="0" collapsed="false">
      <c r="A42" s="0" t="n">
        <v>7</v>
      </c>
      <c r="B42" s="0" t="s">
        <v>70</v>
      </c>
      <c r="C42" s="0" t="s">
        <v>63</v>
      </c>
      <c r="D42" s="7"/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</row>
    <row r="43" customFormat="false" ht="12.8" hidden="false" customHeight="false" outlineLevel="0" collapsed="false">
      <c r="A43" s="0" t="n">
        <v>7</v>
      </c>
      <c r="B43" s="0" t="s">
        <v>70</v>
      </c>
      <c r="C43" s="0" t="s">
        <v>64</v>
      </c>
      <c r="D43" s="7"/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</row>
    <row r="44" customFormat="false" ht="12.8" hidden="false" customHeight="false" outlineLevel="0" collapsed="false">
      <c r="A44" s="0" t="n">
        <v>8</v>
      </c>
      <c r="B44" s="0" t="s">
        <v>71</v>
      </c>
      <c r="C44" s="0" t="s">
        <v>59</v>
      </c>
      <c r="D44" s="7"/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</row>
    <row r="45" customFormat="false" ht="12.8" hidden="false" customHeight="false" outlineLevel="0" collapsed="false">
      <c r="A45" s="0" t="n">
        <v>8</v>
      </c>
      <c r="B45" s="0" t="s">
        <v>71</v>
      </c>
      <c r="C45" s="0" t="s">
        <v>60</v>
      </c>
      <c r="D45" s="7"/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</row>
    <row r="46" customFormat="false" ht="12.8" hidden="false" customHeight="false" outlineLevel="0" collapsed="false">
      <c r="A46" s="0" t="n">
        <v>8</v>
      </c>
      <c r="B46" s="0" t="s">
        <v>71</v>
      </c>
      <c r="C46" s="0" t="s">
        <v>61</v>
      </c>
      <c r="D46" s="7"/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</row>
    <row r="47" customFormat="false" ht="12.8" hidden="false" customHeight="false" outlineLevel="0" collapsed="false">
      <c r="A47" s="0" t="n">
        <v>8</v>
      </c>
      <c r="B47" s="0" t="s">
        <v>71</v>
      </c>
      <c r="C47" s="0" t="s">
        <v>62</v>
      </c>
      <c r="D47" s="7"/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</row>
    <row r="48" customFormat="false" ht="12.8" hidden="false" customHeight="false" outlineLevel="0" collapsed="false">
      <c r="A48" s="0" t="n">
        <v>8</v>
      </c>
      <c r="B48" s="0" t="s">
        <v>71</v>
      </c>
      <c r="C48" s="0" t="s">
        <v>63</v>
      </c>
      <c r="D48" s="7"/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</row>
    <row r="49" customFormat="false" ht="12.8" hidden="false" customHeight="false" outlineLevel="0" collapsed="false">
      <c r="A49" s="0" t="n">
        <v>8</v>
      </c>
      <c r="B49" s="0" t="s">
        <v>71</v>
      </c>
      <c r="C49" s="0" t="s">
        <v>64</v>
      </c>
      <c r="D49" s="7"/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 customFormat="false" ht="12.8" hidden="false" customHeight="false" outlineLevel="0" collapsed="false">
      <c r="A50" s="0" t="n">
        <v>9</v>
      </c>
      <c r="B50" s="0" t="s">
        <v>72</v>
      </c>
      <c r="C50" s="0" t="s">
        <v>59</v>
      </c>
      <c r="D50" s="7"/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</row>
    <row r="51" customFormat="false" ht="12.8" hidden="false" customHeight="false" outlineLevel="0" collapsed="false">
      <c r="A51" s="0" t="n">
        <v>9</v>
      </c>
      <c r="B51" s="0" t="s">
        <v>72</v>
      </c>
      <c r="C51" s="0" t="s">
        <v>60</v>
      </c>
      <c r="D51" s="7"/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</row>
    <row r="52" customFormat="false" ht="12.8" hidden="false" customHeight="false" outlineLevel="0" collapsed="false">
      <c r="A52" s="0" t="n">
        <v>9</v>
      </c>
      <c r="B52" s="0" t="s">
        <v>72</v>
      </c>
      <c r="C52" s="0" t="s">
        <v>61</v>
      </c>
      <c r="D52" s="7"/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</row>
    <row r="53" customFormat="false" ht="12.8" hidden="false" customHeight="false" outlineLevel="0" collapsed="false">
      <c r="A53" s="0" t="n">
        <v>9</v>
      </c>
      <c r="B53" s="0" t="s">
        <v>72</v>
      </c>
      <c r="C53" s="0" t="s">
        <v>62</v>
      </c>
      <c r="D53" s="7"/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</row>
    <row r="54" customFormat="false" ht="12.8" hidden="false" customHeight="false" outlineLevel="0" collapsed="false">
      <c r="A54" s="0" t="n">
        <v>9</v>
      </c>
      <c r="B54" s="0" t="s">
        <v>72</v>
      </c>
      <c r="C54" s="0" t="s">
        <v>63</v>
      </c>
      <c r="D54" s="7"/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</row>
    <row r="55" customFormat="false" ht="12.8" hidden="false" customHeight="false" outlineLevel="0" collapsed="false">
      <c r="A55" s="0" t="n">
        <v>9</v>
      </c>
      <c r="B55" s="0" t="s">
        <v>72</v>
      </c>
      <c r="C55" s="0" t="s">
        <v>64</v>
      </c>
      <c r="D55" s="7"/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</row>
    <row r="56" customFormat="false" ht="12.8" hidden="false" customHeight="false" outlineLevel="0" collapsed="false">
      <c r="A56" s="0" t="n">
        <v>10</v>
      </c>
      <c r="B56" s="0" t="s">
        <v>73</v>
      </c>
      <c r="C56" s="0" t="s">
        <v>59</v>
      </c>
      <c r="D56" s="7"/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</row>
    <row r="57" customFormat="false" ht="12.8" hidden="false" customHeight="false" outlineLevel="0" collapsed="false">
      <c r="A57" s="0" t="n">
        <v>10</v>
      </c>
      <c r="B57" s="0" t="s">
        <v>73</v>
      </c>
      <c r="C57" s="0" t="s">
        <v>60</v>
      </c>
      <c r="D57" s="7"/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</row>
    <row r="58" customFormat="false" ht="12.8" hidden="false" customHeight="false" outlineLevel="0" collapsed="false">
      <c r="A58" s="0" t="n">
        <v>10</v>
      </c>
      <c r="B58" s="0" t="s">
        <v>73</v>
      </c>
      <c r="C58" s="0" t="s">
        <v>61</v>
      </c>
      <c r="D58" s="7"/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 customFormat="false" ht="12.8" hidden="false" customHeight="false" outlineLevel="0" collapsed="false">
      <c r="A59" s="0" t="n">
        <v>10</v>
      </c>
      <c r="B59" s="0" t="s">
        <v>73</v>
      </c>
      <c r="C59" s="0" t="s">
        <v>62</v>
      </c>
      <c r="D59" s="7"/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</row>
    <row r="60" customFormat="false" ht="12.8" hidden="false" customHeight="false" outlineLevel="0" collapsed="false">
      <c r="A60" s="0" t="n">
        <v>10</v>
      </c>
      <c r="B60" s="0" t="s">
        <v>73</v>
      </c>
      <c r="C60" s="0" t="s">
        <v>63</v>
      </c>
      <c r="D60" s="7"/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</row>
    <row r="61" customFormat="false" ht="12.8" hidden="false" customHeight="false" outlineLevel="0" collapsed="false">
      <c r="A61" s="0" t="n">
        <v>10</v>
      </c>
      <c r="B61" s="0" t="s">
        <v>73</v>
      </c>
      <c r="C61" s="0" t="s">
        <v>64</v>
      </c>
      <c r="D61" s="7"/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</row>
    <row r="62" customFormat="false" ht="12.8" hidden="false" customHeight="false" outlineLevel="0" collapsed="false">
      <c r="A62" s="0" t="n">
        <v>11</v>
      </c>
      <c r="B62" s="0" t="s">
        <v>74</v>
      </c>
      <c r="C62" s="0" t="s">
        <v>59</v>
      </c>
      <c r="D62" s="7"/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</row>
    <row r="63" customFormat="false" ht="12.8" hidden="false" customHeight="false" outlineLevel="0" collapsed="false">
      <c r="A63" s="0" t="n">
        <v>11</v>
      </c>
      <c r="B63" s="0" t="s">
        <v>74</v>
      </c>
      <c r="C63" s="0" t="s">
        <v>60</v>
      </c>
      <c r="D63" s="7"/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 customFormat="false" ht="12.8" hidden="false" customHeight="false" outlineLevel="0" collapsed="false">
      <c r="A64" s="0" t="n">
        <v>11</v>
      </c>
      <c r="B64" s="0" t="s">
        <v>74</v>
      </c>
      <c r="C64" s="0" t="s">
        <v>61</v>
      </c>
      <c r="D64" s="7"/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 customFormat="false" ht="12.8" hidden="false" customHeight="false" outlineLevel="0" collapsed="false">
      <c r="A65" s="0" t="n">
        <v>11</v>
      </c>
      <c r="B65" s="0" t="s">
        <v>74</v>
      </c>
      <c r="C65" s="0" t="s">
        <v>62</v>
      </c>
      <c r="D65" s="7"/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</row>
    <row r="66" customFormat="false" ht="12.8" hidden="false" customHeight="false" outlineLevel="0" collapsed="false">
      <c r="A66" s="0" t="n">
        <v>11</v>
      </c>
      <c r="B66" s="0" t="s">
        <v>74</v>
      </c>
      <c r="C66" s="0" t="s">
        <v>63</v>
      </c>
      <c r="D66" s="7"/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</row>
    <row r="67" customFormat="false" ht="12.8" hidden="false" customHeight="false" outlineLevel="0" collapsed="false">
      <c r="A67" s="0" t="n">
        <v>11</v>
      </c>
      <c r="B67" s="0" t="s">
        <v>74</v>
      </c>
      <c r="C67" s="0" t="s">
        <v>64</v>
      </c>
      <c r="D67" s="7"/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</row>
    <row r="68" customFormat="false" ht="12.8" hidden="false" customHeight="false" outlineLevel="0" collapsed="false">
      <c r="A68" s="0" t="n">
        <v>12</v>
      </c>
      <c r="B68" s="0" t="s">
        <v>75</v>
      </c>
      <c r="C68" s="0" t="s">
        <v>59</v>
      </c>
      <c r="D68" s="7"/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 customFormat="false" ht="12.8" hidden="false" customHeight="false" outlineLevel="0" collapsed="false">
      <c r="A69" s="0" t="n">
        <v>12</v>
      </c>
      <c r="B69" s="0" t="s">
        <v>75</v>
      </c>
      <c r="C69" s="0" t="s">
        <v>60</v>
      </c>
      <c r="D69" s="7"/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</row>
    <row r="70" customFormat="false" ht="12.8" hidden="false" customHeight="false" outlineLevel="0" collapsed="false">
      <c r="A70" s="0" t="n">
        <v>12</v>
      </c>
      <c r="B70" s="0" t="s">
        <v>75</v>
      </c>
      <c r="C70" s="0" t="s">
        <v>61</v>
      </c>
      <c r="D70" s="7"/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</row>
    <row r="71" customFormat="false" ht="12.8" hidden="false" customHeight="false" outlineLevel="0" collapsed="false">
      <c r="A71" s="0" t="n">
        <v>12</v>
      </c>
      <c r="B71" s="0" t="s">
        <v>75</v>
      </c>
      <c r="C71" s="0" t="s">
        <v>62</v>
      </c>
      <c r="D71" s="7"/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</row>
    <row r="72" customFormat="false" ht="12.8" hidden="false" customHeight="false" outlineLevel="0" collapsed="false">
      <c r="A72" s="0" t="n">
        <v>12</v>
      </c>
      <c r="B72" s="0" t="s">
        <v>75</v>
      </c>
      <c r="C72" s="0" t="s">
        <v>63</v>
      </c>
      <c r="D72" s="7"/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</row>
    <row r="73" customFormat="false" ht="12.8" hidden="false" customHeight="false" outlineLevel="0" collapsed="false">
      <c r="A73" s="0" t="n">
        <v>12</v>
      </c>
      <c r="B73" s="0" t="s">
        <v>75</v>
      </c>
      <c r="C73" s="0" t="s">
        <v>64</v>
      </c>
      <c r="D73" s="7"/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</row>
    <row r="74" customFormat="false" ht="12.8" hidden="false" customHeight="false" outlineLevel="0" collapsed="false">
      <c r="A74" s="0" t="n">
        <v>13</v>
      </c>
      <c r="B74" s="0" t="s">
        <v>76</v>
      </c>
      <c r="C74" s="0" t="s">
        <v>59</v>
      </c>
      <c r="D74" s="7"/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  <row r="75" customFormat="false" ht="12.8" hidden="false" customHeight="false" outlineLevel="0" collapsed="false">
      <c r="A75" s="0" t="n">
        <v>13</v>
      </c>
      <c r="B75" s="0" t="s">
        <v>76</v>
      </c>
      <c r="C75" s="0" t="s">
        <v>60</v>
      </c>
      <c r="D75" s="7"/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</row>
    <row r="76" customFormat="false" ht="12.8" hidden="false" customHeight="false" outlineLevel="0" collapsed="false">
      <c r="A76" s="0" t="n">
        <v>13</v>
      </c>
      <c r="B76" s="0" t="s">
        <v>76</v>
      </c>
      <c r="C76" s="0" t="s">
        <v>61</v>
      </c>
      <c r="D76" s="7"/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</row>
    <row r="77" customFormat="false" ht="12.8" hidden="false" customHeight="false" outlineLevel="0" collapsed="false">
      <c r="A77" s="0" t="n">
        <v>13</v>
      </c>
      <c r="B77" s="0" t="s">
        <v>76</v>
      </c>
      <c r="C77" s="0" t="s">
        <v>62</v>
      </c>
      <c r="D77" s="7"/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</row>
    <row r="78" customFormat="false" ht="12.8" hidden="false" customHeight="false" outlineLevel="0" collapsed="false">
      <c r="A78" s="0" t="n">
        <v>13</v>
      </c>
      <c r="B78" s="0" t="s">
        <v>76</v>
      </c>
      <c r="C78" s="0" t="s">
        <v>63</v>
      </c>
      <c r="D78" s="7"/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</row>
    <row r="79" customFormat="false" ht="12.8" hidden="false" customHeight="false" outlineLevel="0" collapsed="false">
      <c r="A79" s="0" t="n">
        <v>13</v>
      </c>
      <c r="B79" s="0" t="s">
        <v>76</v>
      </c>
      <c r="C79" s="0" t="s">
        <v>64</v>
      </c>
      <c r="D79" s="7"/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</row>
    <row r="80" customFormat="false" ht="12.8" hidden="false" customHeight="false" outlineLevel="0" collapsed="false">
      <c r="A80" s="0" t="n">
        <v>14</v>
      </c>
      <c r="B80" s="0" t="s">
        <v>77</v>
      </c>
      <c r="C80" s="0" t="s">
        <v>59</v>
      </c>
      <c r="D80" s="7"/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</row>
    <row r="81" customFormat="false" ht="12.8" hidden="false" customHeight="false" outlineLevel="0" collapsed="false">
      <c r="A81" s="0" t="n">
        <v>14</v>
      </c>
      <c r="B81" s="0" t="s">
        <v>77</v>
      </c>
      <c r="C81" s="0" t="s">
        <v>60</v>
      </c>
      <c r="D81" s="7"/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</row>
    <row r="82" customFormat="false" ht="12.8" hidden="false" customHeight="false" outlineLevel="0" collapsed="false">
      <c r="A82" s="0" t="n">
        <v>14</v>
      </c>
      <c r="B82" s="0" t="s">
        <v>77</v>
      </c>
      <c r="C82" s="0" t="s">
        <v>61</v>
      </c>
      <c r="D82" s="7"/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</row>
    <row r="83" customFormat="false" ht="12.8" hidden="false" customHeight="false" outlineLevel="0" collapsed="false">
      <c r="A83" s="0" t="n">
        <v>14</v>
      </c>
      <c r="B83" s="0" t="s">
        <v>77</v>
      </c>
      <c r="C83" s="0" t="s">
        <v>62</v>
      </c>
      <c r="D83" s="7"/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</row>
    <row r="84" customFormat="false" ht="12.8" hidden="false" customHeight="false" outlineLevel="0" collapsed="false">
      <c r="A84" s="0" t="n">
        <v>14</v>
      </c>
      <c r="B84" s="0" t="s">
        <v>77</v>
      </c>
      <c r="C84" s="0" t="s">
        <v>63</v>
      </c>
      <c r="D84" s="7"/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</row>
    <row r="85" customFormat="false" ht="12.8" hidden="false" customHeight="false" outlineLevel="0" collapsed="false">
      <c r="A85" s="0" t="n">
        <v>14</v>
      </c>
      <c r="B85" s="0" t="s">
        <v>77</v>
      </c>
      <c r="C85" s="0" t="s">
        <v>64</v>
      </c>
      <c r="D85" s="7"/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</row>
    <row r="86" customFormat="false" ht="12.8" hidden="false" customHeight="false" outlineLevel="0" collapsed="false">
      <c r="A86" s="0" t="n">
        <v>15</v>
      </c>
      <c r="B86" s="0" t="s">
        <v>78</v>
      </c>
      <c r="C86" s="0" t="s">
        <v>59</v>
      </c>
      <c r="D86" s="7"/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 customFormat="false" ht="12.8" hidden="false" customHeight="false" outlineLevel="0" collapsed="false">
      <c r="A87" s="0" t="n">
        <v>15</v>
      </c>
      <c r="B87" s="0" t="s">
        <v>78</v>
      </c>
      <c r="C87" s="0" t="s">
        <v>60</v>
      </c>
      <c r="D87" s="7"/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 customFormat="false" ht="12.8" hidden="false" customHeight="false" outlineLevel="0" collapsed="false">
      <c r="A88" s="0" t="n">
        <v>15</v>
      </c>
      <c r="B88" s="0" t="s">
        <v>78</v>
      </c>
      <c r="C88" s="0" t="s">
        <v>61</v>
      </c>
      <c r="D88" s="7"/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</row>
    <row r="89" customFormat="false" ht="12.8" hidden="false" customHeight="false" outlineLevel="0" collapsed="false">
      <c r="A89" s="0" t="n">
        <v>15</v>
      </c>
      <c r="B89" s="0" t="s">
        <v>78</v>
      </c>
      <c r="C89" s="0" t="s">
        <v>62</v>
      </c>
      <c r="D89" s="7"/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</row>
    <row r="90" customFormat="false" ht="12.8" hidden="false" customHeight="false" outlineLevel="0" collapsed="false">
      <c r="A90" s="0" t="n">
        <v>15</v>
      </c>
      <c r="B90" s="0" t="s">
        <v>78</v>
      </c>
      <c r="C90" s="0" t="s">
        <v>63</v>
      </c>
      <c r="D90" s="7"/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</row>
    <row r="91" customFormat="false" ht="12.8" hidden="false" customHeight="false" outlineLevel="0" collapsed="false">
      <c r="A91" s="0" t="n">
        <v>15</v>
      </c>
      <c r="B91" s="0" t="s">
        <v>78</v>
      </c>
      <c r="C91" s="0" t="s">
        <v>64</v>
      </c>
      <c r="D91" s="7"/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6"/>
    <col collapsed="false" customWidth="true" hidden="false" outlineLevel="0" max="2" min="2" style="0" width="24.01"/>
    <col collapsed="false" customWidth="true" hidden="false" outlineLevel="0" max="4" min="3" style="0" width="26.56"/>
    <col collapsed="false" customWidth="true" hidden="false" outlineLevel="0" max="5" min="5" style="0" width="17.37"/>
    <col collapsed="false" customWidth="true" hidden="false" outlineLevel="0" max="6" min="6" style="0" width="19.4"/>
    <col collapsed="false" customWidth="true" hidden="false" outlineLevel="0" max="7" min="7" style="0" width="16.34"/>
    <col collapsed="false" customWidth="true" hidden="false" outlineLevel="0" max="8" min="8" style="0" width="19.92"/>
  </cols>
  <sheetData>
    <row r="1" customFormat="false" ht="12.8" hidden="false" customHeight="false" outlineLevel="0" collapsed="false">
      <c r="A1" s="4" t="s">
        <v>47</v>
      </c>
      <c r="B1" s="4" t="s">
        <v>48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</row>
    <row r="2" customFormat="false" ht="12.8" hidden="false" customHeight="false" outlineLevel="0" collapsed="false">
      <c r="A2" s="0" t="n">
        <v>1</v>
      </c>
      <c r="B2" s="0" t="s">
        <v>58</v>
      </c>
      <c r="C2" s="0" t="s">
        <v>85</v>
      </c>
      <c r="D2" s="0" t="s">
        <v>86</v>
      </c>
      <c r="E2" s="0" t="n">
        <v>1</v>
      </c>
      <c r="F2" s="7" t="n">
        <v>0</v>
      </c>
      <c r="G2" s="8" t="n">
        <f aca="false">E2*F2</f>
        <v>0</v>
      </c>
      <c r="H2" s="0" t="s">
        <v>87</v>
      </c>
    </row>
    <row r="3" customFormat="false" ht="12.8" hidden="false" customHeight="false" outlineLevel="0" collapsed="false">
      <c r="A3" s="0" t="n">
        <v>1</v>
      </c>
      <c r="B3" s="0" t="s">
        <v>58</v>
      </c>
      <c r="C3" s="0" t="s">
        <v>88</v>
      </c>
      <c r="D3" s="0" t="s">
        <v>89</v>
      </c>
      <c r="E3" s="0" t="n">
        <v>1</v>
      </c>
      <c r="F3" s="7" t="n">
        <v>0</v>
      </c>
      <c r="G3" s="8" t="n">
        <f aca="false">E3*F3</f>
        <v>0</v>
      </c>
      <c r="H3" s="0" t="s">
        <v>87</v>
      </c>
    </row>
    <row r="4" customFormat="false" ht="12.8" hidden="false" customHeight="false" outlineLevel="0" collapsed="false">
      <c r="A4" s="0" t="n">
        <v>1</v>
      </c>
      <c r="B4" s="0" t="s">
        <v>58</v>
      </c>
      <c r="C4" s="0" t="s">
        <v>90</v>
      </c>
      <c r="D4" s="0" t="s">
        <v>91</v>
      </c>
      <c r="E4" s="0" t="n">
        <v>1</v>
      </c>
      <c r="F4" s="7" t="n">
        <v>0</v>
      </c>
      <c r="G4" s="8" t="n">
        <f aca="false">E4*F4</f>
        <v>0</v>
      </c>
      <c r="H4" s="0" t="s">
        <v>87</v>
      </c>
    </row>
    <row r="5" customFormat="false" ht="12.8" hidden="false" customHeight="false" outlineLevel="0" collapsed="false">
      <c r="A5" s="0" t="n">
        <v>1</v>
      </c>
      <c r="B5" s="0" t="s">
        <v>58</v>
      </c>
      <c r="C5" s="0" t="s">
        <v>92</v>
      </c>
      <c r="D5" s="0" t="s">
        <v>93</v>
      </c>
      <c r="E5" s="0" t="n">
        <v>1</v>
      </c>
      <c r="F5" s="7" t="n">
        <v>0</v>
      </c>
      <c r="G5" s="8" t="n">
        <f aca="false">E5*F5</f>
        <v>0</v>
      </c>
      <c r="H5" s="0" t="s">
        <v>87</v>
      </c>
    </row>
    <row r="6" customFormat="false" ht="12.8" hidden="false" customHeight="false" outlineLevel="0" collapsed="false">
      <c r="A6" s="0" t="n">
        <v>1</v>
      </c>
      <c r="B6" s="0" t="s">
        <v>58</v>
      </c>
      <c r="C6" s="0" t="s">
        <v>94</v>
      </c>
      <c r="D6" s="0" t="s">
        <v>95</v>
      </c>
      <c r="E6" s="0" t="n">
        <v>1</v>
      </c>
      <c r="F6" s="7" t="n">
        <v>0</v>
      </c>
      <c r="G6" s="8" t="n">
        <f aca="false">E6*F6</f>
        <v>0</v>
      </c>
      <c r="H6" s="0" t="s">
        <v>87</v>
      </c>
    </row>
    <row r="7" customFormat="false" ht="12.8" hidden="false" customHeight="false" outlineLevel="0" collapsed="false">
      <c r="A7" s="0" t="n">
        <v>1</v>
      </c>
      <c r="B7" s="0" t="s">
        <v>58</v>
      </c>
      <c r="C7" s="0" t="s">
        <v>96</v>
      </c>
      <c r="D7" s="0" t="s">
        <v>97</v>
      </c>
      <c r="E7" s="0" t="n">
        <v>1</v>
      </c>
      <c r="F7" s="7" t="n">
        <v>0</v>
      </c>
      <c r="G7" s="8" t="n">
        <f aca="false">E7*F7</f>
        <v>0</v>
      </c>
      <c r="H7" s="0" t="s">
        <v>98</v>
      </c>
    </row>
    <row r="8" customFormat="false" ht="12.8" hidden="false" customHeight="false" outlineLevel="0" collapsed="false">
      <c r="A8" s="0" t="n">
        <v>1</v>
      </c>
      <c r="B8" s="0" t="s">
        <v>58</v>
      </c>
      <c r="C8" s="0" t="s">
        <v>99</v>
      </c>
      <c r="D8" s="0" t="s">
        <v>100</v>
      </c>
      <c r="E8" s="0" t="n">
        <v>2.5</v>
      </c>
      <c r="F8" s="7" t="n">
        <v>0</v>
      </c>
      <c r="G8" s="8" t="n">
        <f aca="false">E8*F8</f>
        <v>0</v>
      </c>
      <c r="H8" s="0" t="s">
        <v>98</v>
      </c>
    </row>
    <row r="9" customFormat="false" ht="12.8" hidden="false" customHeight="false" outlineLevel="0" collapsed="false">
      <c r="A9" s="0" t="n">
        <v>1</v>
      </c>
      <c r="B9" s="0" t="s">
        <v>58</v>
      </c>
      <c r="C9" s="0" t="s">
        <v>101</v>
      </c>
      <c r="D9" s="0" t="s">
        <v>102</v>
      </c>
      <c r="E9" s="0" t="n">
        <v>1</v>
      </c>
      <c r="F9" s="7" t="n">
        <v>0</v>
      </c>
      <c r="G9" s="8" t="n">
        <f aca="false">E9*F9</f>
        <v>0</v>
      </c>
      <c r="H9" s="0" t="s">
        <v>98</v>
      </c>
    </row>
    <row r="10" customFormat="false" ht="12.8" hidden="false" customHeight="false" outlineLevel="0" collapsed="false">
      <c r="A10" s="0" t="n">
        <v>1</v>
      </c>
      <c r="B10" s="0" t="s">
        <v>58</v>
      </c>
      <c r="C10" s="0" t="s">
        <v>103</v>
      </c>
      <c r="D10" s="0" t="s">
        <v>104</v>
      </c>
      <c r="E10" s="0" t="n">
        <v>1</v>
      </c>
      <c r="F10" s="7" t="n">
        <v>0</v>
      </c>
      <c r="G10" s="8" t="n">
        <f aca="false">E10*F10</f>
        <v>0</v>
      </c>
      <c r="H10" s="0" t="s">
        <v>98</v>
      </c>
    </row>
    <row r="11" customFormat="false" ht="12.8" hidden="false" customHeight="false" outlineLevel="0" collapsed="false">
      <c r="A11" s="0" t="n">
        <v>1</v>
      </c>
      <c r="B11" s="0" t="s">
        <v>58</v>
      </c>
      <c r="C11" s="0" t="s">
        <v>105</v>
      </c>
      <c r="D11" s="0" t="s">
        <v>106</v>
      </c>
      <c r="E11" s="0" t="n">
        <v>2</v>
      </c>
      <c r="F11" s="7" t="n">
        <v>0</v>
      </c>
      <c r="G11" s="8" t="n">
        <f aca="false">E11*F11</f>
        <v>0</v>
      </c>
      <c r="H11" s="0" t="s">
        <v>98</v>
      </c>
    </row>
    <row r="12" customFormat="false" ht="12.8" hidden="false" customHeight="false" outlineLevel="0" collapsed="false">
      <c r="A12" s="0" t="n">
        <v>1</v>
      </c>
      <c r="B12" s="0" t="s">
        <v>58</v>
      </c>
      <c r="C12" s="0" t="s">
        <v>107</v>
      </c>
      <c r="D12" s="0" t="s">
        <v>108</v>
      </c>
      <c r="E12" s="0" t="n">
        <v>1</v>
      </c>
      <c r="F12" s="7" t="n">
        <v>0</v>
      </c>
      <c r="G12" s="8" t="n">
        <f aca="false">E12*F12</f>
        <v>0</v>
      </c>
      <c r="H12" s="0" t="s">
        <v>98</v>
      </c>
    </row>
    <row r="13" customFormat="false" ht="12.8" hidden="false" customHeight="false" outlineLevel="0" collapsed="false">
      <c r="A13" s="0" t="n">
        <v>1</v>
      </c>
      <c r="B13" s="0" t="s">
        <v>58</v>
      </c>
      <c r="C13" s="0" t="s">
        <v>109</v>
      </c>
      <c r="D13" s="0" t="s">
        <v>110</v>
      </c>
      <c r="E13" s="0" t="n">
        <v>5</v>
      </c>
      <c r="F13" s="7" t="n">
        <v>0</v>
      </c>
      <c r="G13" s="8" t="n">
        <f aca="false">E13*F13</f>
        <v>0</v>
      </c>
      <c r="H13" s="0" t="s">
        <v>98</v>
      </c>
    </row>
    <row r="14" customFormat="false" ht="12.8" hidden="false" customHeight="false" outlineLevel="0" collapsed="false">
      <c r="A14" s="0" t="n">
        <v>1</v>
      </c>
      <c r="B14" s="0" t="s">
        <v>58</v>
      </c>
      <c r="C14" s="0" t="s">
        <v>111</v>
      </c>
      <c r="D14" s="0" t="s">
        <v>112</v>
      </c>
      <c r="E14" s="0" t="n">
        <v>1</v>
      </c>
      <c r="F14" s="7" t="n">
        <v>0</v>
      </c>
      <c r="G14" s="8" t="n">
        <f aca="false">E14*F14</f>
        <v>0</v>
      </c>
      <c r="H14" s="0" t="s">
        <v>98</v>
      </c>
    </row>
    <row r="15" customFormat="false" ht="12.8" hidden="false" customHeight="false" outlineLevel="0" collapsed="false">
      <c r="A15" s="0" t="n">
        <v>1</v>
      </c>
      <c r="B15" s="0" t="s">
        <v>58</v>
      </c>
      <c r="C15" s="0" t="s">
        <v>113</v>
      </c>
      <c r="D15" s="0" t="s">
        <v>114</v>
      </c>
      <c r="E15" s="0" t="n">
        <v>2</v>
      </c>
      <c r="F15" s="7" t="n">
        <v>0</v>
      </c>
      <c r="G15" s="8" t="n">
        <f aca="false">E15*F15</f>
        <v>0</v>
      </c>
      <c r="H15" s="0" t="s">
        <v>87</v>
      </c>
    </row>
    <row r="16" customFormat="false" ht="12.8" hidden="false" customHeight="false" outlineLevel="0" collapsed="false">
      <c r="A16" s="0" t="n">
        <v>1</v>
      </c>
      <c r="B16" s="0" t="s">
        <v>58</v>
      </c>
      <c r="C16" s="0" t="s">
        <v>115</v>
      </c>
      <c r="D16" s="0" t="s">
        <v>116</v>
      </c>
      <c r="E16" s="0" t="n">
        <v>2</v>
      </c>
      <c r="F16" s="7" t="n">
        <v>0</v>
      </c>
      <c r="G16" s="8" t="n">
        <f aca="false">E16*F16</f>
        <v>0</v>
      </c>
      <c r="H16" s="0" t="s">
        <v>87</v>
      </c>
    </row>
    <row r="17" customFormat="false" ht="12.8" hidden="false" customHeight="false" outlineLevel="0" collapsed="false">
      <c r="A17" s="0" t="n">
        <v>1</v>
      </c>
      <c r="B17" s="0" t="s">
        <v>58</v>
      </c>
      <c r="C17" s="0" t="s">
        <v>117</v>
      </c>
      <c r="D17" s="0" t="s">
        <v>118</v>
      </c>
      <c r="E17" s="0" t="n">
        <v>1</v>
      </c>
      <c r="F17" s="7" t="n">
        <v>0</v>
      </c>
      <c r="G17" s="8" t="n">
        <f aca="false">E17*F17</f>
        <v>0</v>
      </c>
      <c r="H17" s="0" t="s">
        <v>98</v>
      </c>
    </row>
    <row r="18" customFormat="false" ht="12.8" hidden="false" customHeight="false" outlineLevel="0" collapsed="false">
      <c r="A18" s="0" t="n">
        <v>2</v>
      </c>
      <c r="B18" s="0" t="s">
        <v>65</v>
      </c>
      <c r="C18" s="0" t="s">
        <v>85</v>
      </c>
      <c r="D18" s="0" t="s">
        <v>86</v>
      </c>
      <c r="E18" s="0" t="n">
        <v>1</v>
      </c>
      <c r="F18" s="7" t="n">
        <v>0</v>
      </c>
      <c r="G18" s="8" t="n">
        <f aca="false">E18*F18</f>
        <v>0</v>
      </c>
      <c r="H18" s="0" t="s">
        <v>87</v>
      </c>
    </row>
    <row r="19" customFormat="false" ht="12.8" hidden="false" customHeight="false" outlineLevel="0" collapsed="false">
      <c r="A19" s="0" t="n">
        <v>2</v>
      </c>
      <c r="B19" s="0" t="s">
        <v>65</v>
      </c>
      <c r="C19" s="0" t="s">
        <v>88</v>
      </c>
      <c r="D19" s="0" t="s">
        <v>89</v>
      </c>
      <c r="E19" s="0" t="n">
        <v>1</v>
      </c>
      <c r="F19" s="7" t="n">
        <v>0</v>
      </c>
      <c r="G19" s="8" t="n">
        <f aca="false">E19*F19</f>
        <v>0</v>
      </c>
      <c r="H19" s="0" t="s">
        <v>87</v>
      </c>
    </row>
    <row r="20" customFormat="false" ht="12.8" hidden="false" customHeight="false" outlineLevel="0" collapsed="false">
      <c r="A20" s="0" t="n">
        <v>2</v>
      </c>
      <c r="B20" s="0" t="s">
        <v>65</v>
      </c>
      <c r="C20" s="0" t="s">
        <v>90</v>
      </c>
      <c r="D20" s="0" t="s">
        <v>91</v>
      </c>
      <c r="E20" s="0" t="n">
        <v>1</v>
      </c>
      <c r="F20" s="7" t="n">
        <v>0</v>
      </c>
      <c r="G20" s="8" t="n">
        <f aca="false">E20*F20</f>
        <v>0</v>
      </c>
      <c r="H20" s="0" t="s">
        <v>87</v>
      </c>
    </row>
    <row r="21" customFormat="false" ht="12.8" hidden="false" customHeight="false" outlineLevel="0" collapsed="false">
      <c r="A21" s="0" t="n">
        <v>2</v>
      </c>
      <c r="B21" s="0" t="s">
        <v>65</v>
      </c>
      <c r="C21" s="0" t="s">
        <v>92</v>
      </c>
      <c r="D21" s="0" t="s">
        <v>93</v>
      </c>
      <c r="E21" s="0" t="n">
        <v>1</v>
      </c>
      <c r="F21" s="7" t="n">
        <v>0</v>
      </c>
      <c r="G21" s="8" t="n">
        <f aca="false">E21*F21</f>
        <v>0</v>
      </c>
      <c r="H21" s="0" t="s">
        <v>87</v>
      </c>
    </row>
    <row r="22" customFormat="false" ht="12.8" hidden="false" customHeight="false" outlineLevel="0" collapsed="false">
      <c r="A22" s="0" t="n">
        <v>2</v>
      </c>
      <c r="B22" s="0" t="s">
        <v>65</v>
      </c>
      <c r="C22" s="0" t="s">
        <v>94</v>
      </c>
      <c r="D22" s="0" t="s">
        <v>95</v>
      </c>
      <c r="E22" s="0" t="n">
        <v>1</v>
      </c>
      <c r="F22" s="7" t="n">
        <v>0</v>
      </c>
      <c r="G22" s="8" t="n">
        <f aca="false">E22*F22</f>
        <v>0</v>
      </c>
      <c r="H22" s="0" t="s">
        <v>87</v>
      </c>
    </row>
    <row r="23" customFormat="false" ht="12.8" hidden="false" customHeight="false" outlineLevel="0" collapsed="false">
      <c r="A23" s="0" t="n">
        <v>2</v>
      </c>
      <c r="B23" s="0" t="s">
        <v>65</v>
      </c>
      <c r="C23" s="0" t="s">
        <v>96</v>
      </c>
      <c r="D23" s="0" t="s">
        <v>97</v>
      </c>
      <c r="E23" s="0" t="n">
        <v>1</v>
      </c>
      <c r="F23" s="7" t="n">
        <v>0</v>
      </c>
      <c r="G23" s="8" t="n">
        <f aca="false">E23*F23</f>
        <v>0</v>
      </c>
      <c r="H23" s="0" t="s">
        <v>98</v>
      </c>
    </row>
    <row r="24" customFormat="false" ht="12.8" hidden="false" customHeight="false" outlineLevel="0" collapsed="false">
      <c r="A24" s="0" t="n">
        <v>2</v>
      </c>
      <c r="B24" s="0" t="s">
        <v>65</v>
      </c>
      <c r="C24" s="0" t="s">
        <v>99</v>
      </c>
      <c r="D24" s="0" t="s">
        <v>100</v>
      </c>
      <c r="E24" s="0" t="n">
        <v>2.5</v>
      </c>
      <c r="F24" s="7" t="n">
        <v>0</v>
      </c>
      <c r="G24" s="8" t="n">
        <f aca="false">E24*F24</f>
        <v>0</v>
      </c>
      <c r="H24" s="0" t="s">
        <v>98</v>
      </c>
    </row>
    <row r="25" customFormat="false" ht="12.8" hidden="false" customHeight="false" outlineLevel="0" collapsed="false">
      <c r="A25" s="0" t="n">
        <v>2</v>
      </c>
      <c r="B25" s="0" t="s">
        <v>65</v>
      </c>
      <c r="C25" s="0" t="s">
        <v>101</v>
      </c>
      <c r="D25" s="0" t="s">
        <v>102</v>
      </c>
      <c r="E25" s="0" t="n">
        <v>1</v>
      </c>
      <c r="F25" s="7" t="n">
        <v>0</v>
      </c>
      <c r="G25" s="8" t="n">
        <f aca="false">E25*F25</f>
        <v>0</v>
      </c>
      <c r="H25" s="0" t="s">
        <v>98</v>
      </c>
    </row>
    <row r="26" customFormat="false" ht="12.8" hidden="false" customHeight="false" outlineLevel="0" collapsed="false">
      <c r="A26" s="0" t="n">
        <v>2</v>
      </c>
      <c r="B26" s="0" t="s">
        <v>65</v>
      </c>
      <c r="C26" s="0" t="s">
        <v>103</v>
      </c>
      <c r="D26" s="0" t="s">
        <v>104</v>
      </c>
      <c r="E26" s="0" t="n">
        <v>1</v>
      </c>
      <c r="F26" s="7" t="n">
        <v>0</v>
      </c>
      <c r="G26" s="8" t="n">
        <f aca="false">E26*F26</f>
        <v>0</v>
      </c>
      <c r="H26" s="0" t="s">
        <v>98</v>
      </c>
    </row>
    <row r="27" customFormat="false" ht="12.8" hidden="false" customHeight="false" outlineLevel="0" collapsed="false">
      <c r="A27" s="0" t="n">
        <v>2</v>
      </c>
      <c r="B27" s="0" t="s">
        <v>65</v>
      </c>
      <c r="C27" s="0" t="s">
        <v>105</v>
      </c>
      <c r="D27" s="0" t="s">
        <v>106</v>
      </c>
      <c r="E27" s="0" t="n">
        <v>2</v>
      </c>
      <c r="F27" s="7" t="n">
        <v>0</v>
      </c>
      <c r="G27" s="8" t="n">
        <f aca="false">E27*F27</f>
        <v>0</v>
      </c>
      <c r="H27" s="0" t="s">
        <v>98</v>
      </c>
    </row>
    <row r="28" customFormat="false" ht="12.8" hidden="false" customHeight="false" outlineLevel="0" collapsed="false">
      <c r="A28" s="0" t="n">
        <v>2</v>
      </c>
      <c r="B28" s="0" t="s">
        <v>65</v>
      </c>
      <c r="C28" s="0" t="s">
        <v>107</v>
      </c>
      <c r="D28" s="0" t="s">
        <v>108</v>
      </c>
      <c r="E28" s="0" t="n">
        <v>1</v>
      </c>
      <c r="F28" s="7" t="n">
        <v>0</v>
      </c>
      <c r="G28" s="8" t="n">
        <f aca="false">E28*F28</f>
        <v>0</v>
      </c>
      <c r="H28" s="0" t="s">
        <v>98</v>
      </c>
    </row>
    <row r="29" customFormat="false" ht="12.8" hidden="false" customHeight="false" outlineLevel="0" collapsed="false">
      <c r="A29" s="0" t="n">
        <v>2</v>
      </c>
      <c r="B29" s="0" t="s">
        <v>65</v>
      </c>
      <c r="C29" s="0" t="s">
        <v>109</v>
      </c>
      <c r="D29" s="0" t="s">
        <v>110</v>
      </c>
      <c r="E29" s="0" t="n">
        <v>5</v>
      </c>
      <c r="F29" s="7" t="n">
        <v>0</v>
      </c>
      <c r="G29" s="8" t="n">
        <f aca="false">E29*F29</f>
        <v>0</v>
      </c>
      <c r="H29" s="0" t="s">
        <v>98</v>
      </c>
    </row>
    <row r="30" customFormat="false" ht="12.8" hidden="false" customHeight="false" outlineLevel="0" collapsed="false">
      <c r="A30" s="0" t="n">
        <v>2</v>
      </c>
      <c r="B30" s="0" t="s">
        <v>65</v>
      </c>
      <c r="C30" s="0" t="s">
        <v>111</v>
      </c>
      <c r="D30" s="0" t="s">
        <v>112</v>
      </c>
      <c r="E30" s="0" t="n">
        <v>1</v>
      </c>
      <c r="F30" s="7" t="n">
        <v>0</v>
      </c>
      <c r="G30" s="8" t="n">
        <f aca="false">E30*F30</f>
        <v>0</v>
      </c>
      <c r="H30" s="0" t="s">
        <v>98</v>
      </c>
    </row>
    <row r="31" customFormat="false" ht="12.8" hidden="false" customHeight="false" outlineLevel="0" collapsed="false">
      <c r="A31" s="0" t="n">
        <v>2</v>
      </c>
      <c r="B31" s="0" t="s">
        <v>65</v>
      </c>
      <c r="C31" s="0" t="s">
        <v>113</v>
      </c>
      <c r="D31" s="0" t="s">
        <v>114</v>
      </c>
      <c r="E31" s="0" t="n">
        <v>2</v>
      </c>
      <c r="F31" s="7" t="n">
        <v>0</v>
      </c>
      <c r="G31" s="8" t="n">
        <f aca="false">E31*F31</f>
        <v>0</v>
      </c>
      <c r="H31" s="0" t="s">
        <v>87</v>
      </c>
    </row>
    <row r="32" customFormat="false" ht="12.8" hidden="false" customHeight="false" outlineLevel="0" collapsed="false">
      <c r="A32" s="0" t="n">
        <v>2</v>
      </c>
      <c r="B32" s="0" t="s">
        <v>65</v>
      </c>
      <c r="C32" s="0" t="s">
        <v>115</v>
      </c>
      <c r="D32" s="0" t="s">
        <v>116</v>
      </c>
      <c r="E32" s="0" t="n">
        <v>2</v>
      </c>
      <c r="F32" s="7" t="n">
        <v>0</v>
      </c>
      <c r="G32" s="8" t="n">
        <f aca="false">E32*F32</f>
        <v>0</v>
      </c>
      <c r="H32" s="0" t="s">
        <v>87</v>
      </c>
    </row>
    <row r="33" customFormat="false" ht="12.8" hidden="false" customHeight="false" outlineLevel="0" collapsed="false">
      <c r="A33" s="0" t="n">
        <v>2</v>
      </c>
      <c r="B33" s="0" t="s">
        <v>65</v>
      </c>
      <c r="C33" s="0" t="s">
        <v>117</v>
      </c>
      <c r="D33" s="0" t="s">
        <v>118</v>
      </c>
      <c r="E33" s="0" t="n">
        <v>1</v>
      </c>
      <c r="F33" s="7" t="n">
        <v>0</v>
      </c>
      <c r="G33" s="8" t="n">
        <f aca="false">E33*F33</f>
        <v>0</v>
      </c>
      <c r="H33" s="0" t="s">
        <v>98</v>
      </c>
    </row>
    <row r="34" customFormat="false" ht="12.8" hidden="false" customHeight="false" outlineLevel="0" collapsed="false">
      <c r="A34" s="0" t="n">
        <v>3</v>
      </c>
      <c r="B34" s="0" t="s">
        <v>66</v>
      </c>
      <c r="C34" s="0" t="s">
        <v>85</v>
      </c>
      <c r="D34" s="0" t="s">
        <v>86</v>
      </c>
      <c r="E34" s="0" t="n">
        <v>1</v>
      </c>
      <c r="F34" s="7" t="n">
        <v>0</v>
      </c>
      <c r="G34" s="8" t="n">
        <f aca="false">E34*F34</f>
        <v>0</v>
      </c>
      <c r="H34" s="0" t="s">
        <v>87</v>
      </c>
    </row>
    <row r="35" customFormat="false" ht="12.8" hidden="false" customHeight="false" outlineLevel="0" collapsed="false">
      <c r="A35" s="0" t="n">
        <v>3</v>
      </c>
      <c r="B35" s="0" t="s">
        <v>66</v>
      </c>
      <c r="C35" s="0" t="s">
        <v>88</v>
      </c>
      <c r="D35" s="0" t="s">
        <v>89</v>
      </c>
      <c r="E35" s="0" t="n">
        <v>1</v>
      </c>
      <c r="F35" s="7" t="n">
        <v>0</v>
      </c>
      <c r="G35" s="8" t="n">
        <f aca="false">E35*F35</f>
        <v>0</v>
      </c>
      <c r="H35" s="0" t="s">
        <v>87</v>
      </c>
    </row>
    <row r="36" customFormat="false" ht="12.8" hidden="false" customHeight="false" outlineLevel="0" collapsed="false">
      <c r="A36" s="0" t="n">
        <v>3</v>
      </c>
      <c r="B36" s="0" t="s">
        <v>66</v>
      </c>
      <c r="C36" s="0" t="s">
        <v>90</v>
      </c>
      <c r="D36" s="0" t="s">
        <v>91</v>
      </c>
      <c r="E36" s="0" t="n">
        <v>1</v>
      </c>
      <c r="F36" s="7" t="n">
        <v>0</v>
      </c>
      <c r="G36" s="8" t="n">
        <f aca="false">E36*F36</f>
        <v>0</v>
      </c>
      <c r="H36" s="0" t="s">
        <v>87</v>
      </c>
    </row>
    <row r="37" customFormat="false" ht="12.8" hidden="false" customHeight="false" outlineLevel="0" collapsed="false">
      <c r="A37" s="0" t="n">
        <v>3</v>
      </c>
      <c r="B37" s="0" t="s">
        <v>66</v>
      </c>
      <c r="C37" s="0" t="s">
        <v>92</v>
      </c>
      <c r="D37" s="0" t="s">
        <v>93</v>
      </c>
      <c r="E37" s="0" t="n">
        <v>1</v>
      </c>
      <c r="F37" s="7" t="n">
        <v>0</v>
      </c>
      <c r="G37" s="8" t="n">
        <f aca="false">E37*F37</f>
        <v>0</v>
      </c>
      <c r="H37" s="0" t="s">
        <v>87</v>
      </c>
    </row>
    <row r="38" customFormat="false" ht="12.8" hidden="false" customHeight="false" outlineLevel="0" collapsed="false">
      <c r="A38" s="0" t="n">
        <v>3</v>
      </c>
      <c r="B38" s="0" t="s">
        <v>66</v>
      </c>
      <c r="C38" s="0" t="s">
        <v>94</v>
      </c>
      <c r="D38" s="0" t="s">
        <v>95</v>
      </c>
      <c r="E38" s="0" t="n">
        <v>1</v>
      </c>
      <c r="F38" s="7" t="n">
        <v>0</v>
      </c>
      <c r="G38" s="8" t="n">
        <f aca="false">E38*F38</f>
        <v>0</v>
      </c>
      <c r="H38" s="0" t="s">
        <v>87</v>
      </c>
    </row>
    <row r="39" customFormat="false" ht="12.8" hidden="false" customHeight="false" outlineLevel="0" collapsed="false">
      <c r="A39" s="0" t="n">
        <v>3</v>
      </c>
      <c r="B39" s="0" t="s">
        <v>66</v>
      </c>
      <c r="C39" s="0" t="s">
        <v>96</v>
      </c>
      <c r="D39" s="0" t="s">
        <v>97</v>
      </c>
      <c r="E39" s="0" t="n">
        <v>1</v>
      </c>
      <c r="F39" s="7" t="n">
        <v>0</v>
      </c>
      <c r="G39" s="8" t="n">
        <f aca="false">E39*F39</f>
        <v>0</v>
      </c>
      <c r="H39" s="0" t="s">
        <v>98</v>
      </c>
    </row>
    <row r="40" customFormat="false" ht="12.8" hidden="false" customHeight="false" outlineLevel="0" collapsed="false">
      <c r="A40" s="0" t="n">
        <v>3</v>
      </c>
      <c r="B40" s="0" t="s">
        <v>66</v>
      </c>
      <c r="C40" s="0" t="s">
        <v>99</v>
      </c>
      <c r="D40" s="0" t="s">
        <v>100</v>
      </c>
      <c r="E40" s="0" t="n">
        <v>2.5</v>
      </c>
      <c r="F40" s="7" t="n">
        <v>0</v>
      </c>
      <c r="G40" s="8" t="n">
        <f aca="false">E40*F40</f>
        <v>0</v>
      </c>
      <c r="H40" s="0" t="s">
        <v>98</v>
      </c>
    </row>
    <row r="41" customFormat="false" ht="12.8" hidden="false" customHeight="false" outlineLevel="0" collapsed="false">
      <c r="A41" s="0" t="n">
        <v>3</v>
      </c>
      <c r="B41" s="0" t="s">
        <v>66</v>
      </c>
      <c r="C41" s="0" t="s">
        <v>101</v>
      </c>
      <c r="D41" s="0" t="s">
        <v>102</v>
      </c>
      <c r="E41" s="0" t="n">
        <v>1</v>
      </c>
      <c r="F41" s="7" t="n">
        <v>0</v>
      </c>
      <c r="G41" s="8" t="n">
        <f aca="false">E41*F41</f>
        <v>0</v>
      </c>
      <c r="H41" s="0" t="s">
        <v>98</v>
      </c>
    </row>
    <row r="42" customFormat="false" ht="12.8" hidden="false" customHeight="false" outlineLevel="0" collapsed="false">
      <c r="A42" s="0" t="n">
        <v>3</v>
      </c>
      <c r="B42" s="0" t="s">
        <v>66</v>
      </c>
      <c r="C42" s="0" t="s">
        <v>103</v>
      </c>
      <c r="D42" s="0" t="s">
        <v>104</v>
      </c>
      <c r="E42" s="0" t="n">
        <v>1</v>
      </c>
      <c r="F42" s="7" t="n">
        <v>0</v>
      </c>
      <c r="G42" s="8" t="n">
        <f aca="false">E42*F42</f>
        <v>0</v>
      </c>
      <c r="H42" s="0" t="s">
        <v>98</v>
      </c>
    </row>
    <row r="43" customFormat="false" ht="12.8" hidden="false" customHeight="false" outlineLevel="0" collapsed="false">
      <c r="A43" s="0" t="n">
        <v>3</v>
      </c>
      <c r="B43" s="0" t="s">
        <v>66</v>
      </c>
      <c r="C43" s="0" t="s">
        <v>105</v>
      </c>
      <c r="D43" s="0" t="s">
        <v>106</v>
      </c>
      <c r="E43" s="0" t="n">
        <v>2</v>
      </c>
      <c r="F43" s="7" t="n">
        <v>0</v>
      </c>
      <c r="G43" s="8" t="n">
        <f aca="false">E43*F43</f>
        <v>0</v>
      </c>
      <c r="H43" s="0" t="s">
        <v>98</v>
      </c>
    </row>
    <row r="44" customFormat="false" ht="12.8" hidden="false" customHeight="false" outlineLevel="0" collapsed="false">
      <c r="A44" s="0" t="n">
        <v>3</v>
      </c>
      <c r="B44" s="0" t="s">
        <v>66</v>
      </c>
      <c r="C44" s="0" t="s">
        <v>107</v>
      </c>
      <c r="D44" s="0" t="s">
        <v>108</v>
      </c>
      <c r="E44" s="0" t="n">
        <v>1</v>
      </c>
      <c r="F44" s="7" t="n">
        <v>0</v>
      </c>
      <c r="G44" s="8" t="n">
        <f aca="false">E44*F44</f>
        <v>0</v>
      </c>
      <c r="H44" s="0" t="s">
        <v>98</v>
      </c>
    </row>
    <row r="45" customFormat="false" ht="12.8" hidden="false" customHeight="false" outlineLevel="0" collapsed="false">
      <c r="A45" s="0" t="n">
        <v>3</v>
      </c>
      <c r="B45" s="0" t="s">
        <v>66</v>
      </c>
      <c r="C45" s="0" t="s">
        <v>109</v>
      </c>
      <c r="D45" s="0" t="s">
        <v>110</v>
      </c>
      <c r="E45" s="0" t="n">
        <v>5</v>
      </c>
      <c r="F45" s="7" t="n">
        <v>0</v>
      </c>
      <c r="G45" s="8" t="n">
        <f aca="false">E45*F45</f>
        <v>0</v>
      </c>
      <c r="H45" s="0" t="s">
        <v>98</v>
      </c>
    </row>
    <row r="46" customFormat="false" ht="12.8" hidden="false" customHeight="false" outlineLevel="0" collapsed="false">
      <c r="A46" s="0" t="n">
        <v>3</v>
      </c>
      <c r="B46" s="0" t="s">
        <v>66</v>
      </c>
      <c r="C46" s="0" t="s">
        <v>111</v>
      </c>
      <c r="D46" s="0" t="s">
        <v>112</v>
      </c>
      <c r="E46" s="0" t="n">
        <v>1</v>
      </c>
      <c r="F46" s="7" t="n">
        <v>0</v>
      </c>
      <c r="G46" s="8" t="n">
        <f aca="false">E46*F46</f>
        <v>0</v>
      </c>
      <c r="H46" s="0" t="s">
        <v>98</v>
      </c>
    </row>
    <row r="47" customFormat="false" ht="12.8" hidden="false" customHeight="false" outlineLevel="0" collapsed="false">
      <c r="A47" s="0" t="n">
        <v>3</v>
      </c>
      <c r="B47" s="0" t="s">
        <v>66</v>
      </c>
      <c r="C47" s="0" t="s">
        <v>113</v>
      </c>
      <c r="D47" s="0" t="s">
        <v>114</v>
      </c>
      <c r="E47" s="0" t="n">
        <v>2</v>
      </c>
      <c r="F47" s="7" t="n">
        <v>0</v>
      </c>
      <c r="G47" s="8" t="n">
        <f aca="false">E47*F47</f>
        <v>0</v>
      </c>
      <c r="H47" s="0" t="s">
        <v>87</v>
      </c>
    </row>
    <row r="48" customFormat="false" ht="12.8" hidden="false" customHeight="false" outlineLevel="0" collapsed="false">
      <c r="A48" s="0" t="n">
        <v>3</v>
      </c>
      <c r="B48" s="0" t="s">
        <v>66</v>
      </c>
      <c r="C48" s="0" t="s">
        <v>115</v>
      </c>
      <c r="D48" s="0" t="s">
        <v>116</v>
      </c>
      <c r="E48" s="0" t="n">
        <v>2</v>
      </c>
      <c r="F48" s="7" t="n">
        <v>0</v>
      </c>
      <c r="G48" s="8" t="n">
        <f aca="false">E48*F48</f>
        <v>0</v>
      </c>
      <c r="H48" s="0" t="s">
        <v>87</v>
      </c>
    </row>
    <row r="49" customFormat="false" ht="12.8" hidden="false" customHeight="false" outlineLevel="0" collapsed="false">
      <c r="A49" s="0" t="n">
        <v>3</v>
      </c>
      <c r="B49" s="0" t="s">
        <v>66</v>
      </c>
      <c r="C49" s="0" t="s">
        <v>117</v>
      </c>
      <c r="D49" s="0" t="s">
        <v>118</v>
      </c>
      <c r="E49" s="0" t="n">
        <v>1</v>
      </c>
      <c r="F49" s="7" t="n">
        <v>0</v>
      </c>
      <c r="G49" s="8" t="n">
        <f aca="false">E49*F49</f>
        <v>0</v>
      </c>
      <c r="H49" s="0" t="s">
        <v>98</v>
      </c>
    </row>
    <row r="50" customFormat="false" ht="12.8" hidden="false" customHeight="false" outlineLevel="0" collapsed="false">
      <c r="A50" s="0" t="n">
        <v>4</v>
      </c>
      <c r="B50" s="0" t="s">
        <v>67</v>
      </c>
      <c r="C50" s="0" t="s">
        <v>85</v>
      </c>
      <c r="D50" s="0" t="s">
        <v>86</v>
      </c>
      <c r="E50" s="0" t="n">
        <v>1</v>
      </c>
      <c r="F50" s="7" t="n">
        <v>0</v>
      </c>
      <c r="G50" s="8" t="n">
        <f aca="false">E50*F50</f>
        <v>0</v>
      </c>
      <c r="H50" s="0" t="s">
        <v>87</v>
      </c>
    </row>
    <row r="51" customFormat="false" ht="12.8" hidden="false" customHeight="false" outlineLevel="0" collapsed="false">
      <c r="A51" s="0" t="n">
        <v>4</v>
      </c>
      <c r="B51" s="0" t="s">
        <v>67</v>
      </c>
      <c r="C51" s="0" t="s">
        <v>88</v>
      </c>
      <c r="D51" s="0" t="s">
        <v>89</v>
      </c>
      <c r="E51" s="0" t="n">
        <v>1</v>
      </c>
      <c r="F51" s="7" t="n">
        <v>0</v>
      </c>
      <c r="G51" s="8" t="n">
        <f aca="false">E51*F51</f>
        <v>0</v>
      </c>
      <c r="H51" s="0" t="s">
        <v>87</v>
      </c>
    </row>
    <row r="52" customFormat="false" ht="12.8" hidden="false" customHeight="false" outlineLevel="0" collapsed="false">
      <c r="A52" s="0" t="n">
        <v>4</v>
      </c>
      <c r="B52" s="0" t="s">
        <v>67</v>
      </c>
      <c r="C52" s="0" t="s">
        <v>90</v>
      </c>
      <c r="D52" s="0" t="s">
        <v>91</v>
      </c>
      <c r="E52" s="0" t="n">
        <v>1</v>
      </c>
      <c r="F52" s="7" t="n">
        <v>0</v>
      </c>
      <c r="G52" s="8" t="n">
        <f aca="false">E52*F52</f>
        <v>0</v>
      </c>
      <c r="H52" s="0" t="s">
        <v>87</v>
      </c>
    </row>
    <row r="53" customFormat="false" ht="12.8" hidden="false" customHeight="false" outlineLevel="0" collapsed="false">
      <c r="A53" s="0" t="n">
        <v>4</v>
      </c>
      <c r="B53" s="0" t="s">
        <v>67</v>
      </c>
      <c r="C53" s="0" t="s">
        <v>92</v>
      </c>
      <c r="D53" s="0" t="s">
        <v>93</v>
      </c>
      <c r="E53" s="0" t="n">
        <v>1</v>
      </c>
      <c r="F53" s="7" t="n">
        <v>0</v>
      </c>
      <c r="G53" s="8" t="n">
        <f aca="false">E53*F53</f>
        <v>0</v>
      </c>
      <c r="H53" s="0" t="s">
        <v>87</v>
      </c>
    </row>
    <row r="54" customFormat="false" ht="12.8" hidden="false" customHeight="false" outlineLevel="0" collapsed="false">
      <c r="A54" s="0" t="n">
        <v>4</v>
      </c>
      <c r="B54" s="0" t="s">
        <v>67</v>
      </c>
      <c r="C54" s="0" t="s">
        <v>94</v>
      </c>
      <c r="D54" s="0" t="s">
        <v>95</v>
      </c>
      <c r="E54" s="0" t="n">
        <v>1</v>
      </c>
      <c r="F54" s="7" t="n">
        <v>0</v>
      </c>
      <c r="G54" s="8" t="n">
        <f aca="false">E54*F54</f>
        <v>0</v>
      </c>
      <c r="H54" s="0" t="s">
        <v>87</v>
      </c>
    </row>
    <row r="55" customFormat="false" ht="12.8" hidden="false" customHeight="false" outlineLevel="0" collapsed="false">
      <c r="A55" s="0" t="n">
        <v>4</v>
      </c>
      <c r="B55" s="0" t="s">
        <v>67</v>
      </c>
      <c r="C55" s="0" t="s">
        <v>96</v>
      </c>
      <c r="D55" s="0" t="s">
        <v>97</v>
      </c>
      <c r="E55" s="0" t="n">
        <v>1</v>
      </c>
      <c r="F55" s="7" t="n">
        <v>0</v>
      </c>
      <c r="G55" s="8" t="n">
        <f aca="false">E55*F55</f>
        <v>0</v>
      </c>
      <c r="H55" s="0" t="s">
        <v>98</v>
      </c>
    </row>
    <row r="56" customFormat="false" ht="12.8" hidden="false" customHeight="false" outlineLevel="0" collapsed="false">
      <c r="A56" s="0" t="n">
        <v>4</v>
      </c>
      <c r="B56" s="0" t="s">
        <v>67</v>
      </c>
      <c r="C56" s="0" t="s">
        <v>99</v>
      </c>
      <c r="D56" s="0" t="s">
        <v>100</v>
      </c>
      <c r="E56" s="0" t="n">
        <v>2.5</v>
      </c>
      <c r="F56" s="7" t="n">
        <v>0</v>
      </c>
      <c r="G56" s="8" t="n">
        <f aca="false">E56*F56</f>
        <v>0</v>
      </c>
      <c r="H56" s="0" t="s">
        <v>98</v>
      </c>
    </row>
    <row r="57" customFormat="false" ht="12.8" hidden="false" customHeight="false" outlineLevel="0" collapsed="false">
      <c r="A57" s="0" t="n">
        <v>4</v>
      </c>
      <c r="B57" s="0" t="s">
        <v>67</v>
      </c>
      <c r="C57" s="0" t="s">
        <v>101</v>
      </c>
      <c r="D57" s="0" t="s">
        <v>102</v>
      </c>
      <c r="E57" s="0" t="n">
        <v>1</v>
      </c>
      <c r="F57" s="7" t="n">
        <v>0</v>
      </c>
      <c r="G57" s="8" t="n">
        <f aca="false">E57*F57</f>
        <v>0</v>
      </c>
      <c r="H57" s="0" t="s">
        <v>98</v>
      </c>
    </row>
    <row r="58" customFormat="false" ht="12.8" hidden="false" customHeight="false" outlineLevel="0" collapsed="false">
      <c r="A58" s="0" t="n">
        <v>4</v>
      </c>
      <c r="B58" s="0" t="s">
        <v>67</v>
      </c>
      <c r="C58" s="0" t="s">
        <v>103</v>
      </c>
      <c r="D58" s="0" t="s">
        <v>104</v>
      </c>
      <c r="E58" s="0" t="n">
        <v>1</v>
      </c>
      <c r="F58" s="7" t="n">
        <v>0</v>
      </c>
      <c r="G58" s="8" t="n">
        <f aca="false">E58*F58</f>
        <v>0</v>
      </c>
      <c r="H58" s="0" t="s">
        <v>98</v>
      </c>
    </row>
    <row r="59" customFormat="false" ht="12.8" hidden="false" customHeight="false" outlineLevel="0" collapsed="false">
      <c r="A59" s="0" t="n">
        <v>4</v>
      </c>
      <c r="B59" s="0" t="s">
        <v>67</v>
      </c>
      <c r="C59" s="0" t="s">
        <v>105</v>
      </c>
      <c r="D59" s="0" t="s">
        <v>106</v>
      </c>
      <c r="E59" s="0" t="n">
        <v>2</v>
      </c>
      <c r="F59" s="7" t="n">
        <v>0</v>
      </c>
      <c r="G59" s="8" t="n">
        <f aca="false">E59*F59</f>
        <v>0</v>
      </c>
      <c r="H59" s="0" t="s">
        <v>98</v>
      </c>
    </row>
    <row r="60" customFormat="false" ht="12.8" hidden="false" customHeight="false" outlineLevel="0" collapsed="false">
      <c r="A60" s="0" t="n">
        <v>4</v>
      </c>
      <c r="B60" s="0" t="s">
        <v>67</v>
      </c>
      <c r="C60" s="0" t="s">
        <v>107</v>
      </c>
      <c r="D60" s="0" t="s">
        <v>108</v>
      </c>
      <c r="E60" s="0" t="n">
        <v>1</v>
      </c>
      <c r="F60" s="7" t="n">
        <v>0</v>
      </c>
      <c r="G60" s="8" t="n">
        <f aca="false">E60*F60</f>
        <v>0</v>
      </c>
      <c r="H60" s="0" t="s">
        <v>98</v>
      </c>
    </row>
    <row r="61" customFormat="false" ht="12.8" hidden="false" customHeight="false" outlineLevel="0" collapsed="false">
      <c r="A61" s="0" t="n">
        <v>4</v>
      </c>
      <c r="B61" s="0" t="s">
        <v>67</v>
      </c>
      <c r="C61" s="0" t="s">
        <v>109</v>
      </c>
      <c r="D61" s="0" t="s">
        <v>110</v>
      </c>
      <c r="E61" s="0" t="n">
        <v>5</v>
      </c>
      <c r="F61" s="7" t="n">
        <v>0</v>
      </c>
      <c r="G61" s="8" t="n">
        <f aca="false">E61*F61</f>
        <v>0</v>
      </c>
      <c r="H61" s="0" t="s">
        <v>98</v>
      </c>
    </row>
    <row r="62" customFormat="false" ht="12.8" hidden="false" customHeight="false" outlineLevel="0" collapsed="false">
      <c r="A62" s="0" t="n">
        <v>4</v>
      </c>
      <c r="B62" s="0" t="s">
        <v>67</v>
      </c>
      <c r="C62" s="0" t="s">
        <v>111</v>
      </c>
      <c r="D62" s="0" t="s">
        <v>112</v>
      </c>
      <c r="E62" s="0" t="n">
        <v>1</v>
      </c>
      <c r="F62" s="7" t="n">
        <v>0</v>
      </c>
      <c r="G62" s="8" t="n">
        <f aca="false">E62*F62</f>
        <v>0</v>
      </c>
      <c r="H62" s="0" t="s">
        <v>98</v>
      </c>
    </row>
    <row r="63" customFormat="false" ht="12.8" hidden="false" customHeight="false" outlineLevel="0" collapsed="false">
      <c r="A63" s="0" t="n">
        <v>4</v>
      </c>
      <c r="B63" s="0" t="s">
        <v>67</v>
      </c>
      <c r="C63" s="0" t="s">
        <v>113</v>
      </c>
      <c r="D63" s="0" t="s">
        <v>114</v>
      </c>
      <c r="E63" s="0" t="n">
        <v>2</v>
      </c>
      <c r="F63" s="7" t="n">
        <v>0</v>
      </c>
      <c r="G63" s="8" t="n">
        <f aca="false">E63*F63</f>
        <v>0</v>
      </c>
      <c r="H63" s="0" t="s">
        <v>87</v>
      </c>
    </row>
    <row r="64" customFormat="false" ht="12.8" hidden="false" customHeight="false" outlineLevel="0" collapsed="false">
      <c r="A64" s="0" t="n">
        <v>4</v>
      </c>
      <c r="B64" s="0" t="s">
        <v>67</v>
      </c>
      <c r="C64" s="0" t="s">
        <v>115</v>
      </c>
      <c r="D64" s="0" t="s">
        <v>116</v>
      </c>
      <c r="E64" s="0" t="n">
        <v>2</v>
      </c>
      <c r="F64" s="7" t="n">
        <v>0</v>
      </c>
      <c r="G64" s="8" t="n">
        <f aca="false">E64*F64</f>
        <v>0</v>
      </c>
      <c r="H64" s="0" t="s">
        <v>87</v>
      </c>
    </row>
    <row r="65" customFormat="false" ht="12.8" hidden="false" customHeight="false" outlineLevel="0" collapsed="false">
      <c r="A65" s="0" t="n">
        <v>4</v>
      </c>
      <c r="B65" s="0" t="s">
        <v>67</v>
      </c>
      <c r="C65" s="0" t="s">
        <v>117</v>
      </c>
      <c r="D65" s="0" t="s">
        <v>118</v>
      </c>
      <c r="E65" s="0" t="n">
        <v>1</v>
      </c>
      <c r="F65" s="7" t="n">
        <v>0</v>
      </c>
      <c r="G65" s="8" t="n">
        <f aca="false">E65*F65</f>
        <v>0</v>
      </c>
      <c r="H65" s="0" t="s">
        <v>98</v>
      </c>
    </row>
    <row r="66" customFormat="false" ht="12.8" hidden="false" customHeight="false" outlineLevel="0" collapsed="false">
      <c r="A66" s="0" t="n">
        <v>5</v>
      </c>
      <c r="B66" s="0" t="s">
        <v>68</v>
      </c>
      <c r="C66" s="0" t="s">
        <v>85</v>
      </c>
      <c r="D66" s="0" t="s">
        <v>86</v>
      </c>
      <c r="E66" s="0" t="n">
        <v>1</v>
      </c>
      <c r="F66" s="7" t="n">
        <v>0</v>
      </c>
      <c r="G66" s="8" t="n">
        <f aca="false">E66*F66</f>
        <v>0</v>
      </c>
      <c r="H66" s="0" t="s">
        <v>87</v>
      </c>
    </row>
    <row r="67" customFormat="false" ht="12.8" hidden="false" customHeight="false" outlineLevel="0" collapsed="false">
      <c r="A67" s="0" t="n">
        <v>5</v>
      </c>
      <c r="B67" s="0" t="s">
        <v>68</v>
      </c>
      <c r="C67" s="0" t="s">
        <v>88</v>
      </c>
      <c r="D67" s="0" t="s">
        <v>89</v>
      </c>
      <c r="E67" s="0" t="n">
        <v>1</v>
      </c>
      <c r="F67" s="7" t="n">
        <v>0</v>
      </c>
      <c r="G67" s="8" t="n">
        <f aca="false">E67*F67</f>
        <v>0</v>
      </c>
      <c r="H67" s="0" t="s">
        <v>87</v>
      </c>
    </row>
    <row r="68" customFormat="false" ht="12.8" hidden="false" customHeight="false" outlineLevel="0" collapsed="false">
      <c r="A68" s="0" t="n">
        <v>5</v>
      </c>
      <c r="B68" s="0" t="s">
        <v>68</v>
      </c>
      <c r="C68" s="0" t="s">
        <v>90</v>
      </c>
      <c r="D68" s="0" t="s">
        <v>91</v>
      </c>
      <c r="E68" s="0" t="n">
        <v>1</v>
      </c>
      <c r="F68" s="7" t="n">
        <v>0</v>
      </c>
      <c r="G68" s="8" t="n">
        <f aca="false">E68*F68</f>
        <v>0</v>
      </c>
      <c r="H68" s="0" t="s">
        <v>87</v>
      </c>
    </row>
    <row r="69" customFormat="false" ht="12.8" hidden="false" customHeight="false" outlineLevel="0" collapsed="false">
      <c r="A69" s="0" t="n">
        <v>5</v>
      </c>
      <c r="B69" s="0" t="s">
        <v>68</v>
      </c>
      <c r="C69" s="0" t="s">
        <v>92</v>
      </c>
      <c r="D69" s="0" t="s">
        <v>93</v>
      </c>
      <c r="E69" s="0" t="n">
        <v>1</v>
      </c>
      <c r="F69" s="7" t="n">
        <v>0</v>
      </c>
      <c r="G69" s="8" t="n">
        <f aca="false">E69*F69</f>
        <v>0</v>
      </c>
      <c r="H69" s="0" t="s">
        <v>87</v>
      </c>
    </row>
    <row r="70" customFormat="false" ht="12.8" hidden="false" customHeight="false" outlineLevel="0" collapsed="false">
      <c r="A70" s="0" t="n">
        <v>5</v>
      </c>
      <c r="B70" s="0" t="s">
        <v>68</v>
      </c>
      <c r="C70" s="0" t="s">
        <v>94</v>
      </c>
      <c r="D70" s="0" t="s">
        <v>95</v>
      </c>
      <c r="E70" s="0" t="n">
        <v>1</v>
      </c>
      <c r="F70" s="7" t="n">
        <v>0</v>
      </c>
      <c r="G70" s="8" t="n">
        <f aca="false">E70*F70</f>
        <v>0</v>
      </c>
      <c r="H70" s="0" t="s">
        <v>87</v>
      </c>
    </row>
    <row r="71" customFormat="false" ht="12.8" hidden="false" customHeight="false" outlineLevel="0" collapsed="false">
      <c r="A71" s="0" t="n">
        <v>5</v>
      </c>
      <c r="B71" s="0" t="s">
        <v>68</v>
      </c>
      <c r="C71" s="0" t="s">
        <v>96</v>
      </c>
      <c r="D71" s="0" t="s">
        <v>97</v>
      </c>
      <c r="E71" s="0" t="n">
        <v>1</v>
      </c>
      <c r="F71" s="7" t="n">
        <v>0</v>
      </c>
      <c r="G71" s="8" t="n">
        <f aca="false">E71*F71</f>
        <v>0</v>
      </c>
      <c r="H71" s="0" t="s">
        <v>98</v>
      </c>
    </row>
    <row r="72" customFormat="false" ht="12.8" hidden="false" customHeight="false" outlineLevel="0" collapsed="false">
      <c r="A72" s="0" t="n">
        <v>5</v>
      </c>
      <c r="B72" s="0" t="s">
        <v>68</v>
      </c>
      <c r="C72" s="0" t="s">
        <v>99</v>
      </c>
      <c r="D72" s="0" t="s">
        <v>100</v>
      </c>
      <c r="E72" s="0" t="n">
        <v>2.5</v>
      </c>
      <c r="F72" s="7" t="n">
        <v>0</v>
      </c>
      <c r="G72" s="8" t="n">
        <f aca="false">E72*F72</f>
        <v>0</v>
      </c>
      <c r="H72" s="0" t="s">
        <v>98</v>
      </c>
    </row>
    <row r="73" customFormat="false" ht="12.8" hidden="false" customHeight="false" outlineLevel="0" collapsed="false">
      <c r="A73" s="0" t="n">
        <v>5</v>
      </c>
      <c r="B73" s="0" t="s">
        <v>68</v>
      </c>
      <c r="C73" s="0" t="s">
        <v>101</v>
      </c>
      <c r="D73" s="0" t="s">
        <v>102</v>
      </c>
      <c r="E73" s="0" t="n">
        <v>1</v>
      </c>
      <c r="F73" s="7" t="n">
        <v>0</v>
      </c>
      <c r="G73" s="8" t="n">
        <f aca="false">E73*F73</f>
        <v>0</v>
      </c>
      <c r="H73" s="0" t="s">
        <v>98</v>
      </c>
    </row>
    <row r="74" customFormat="false" ht="12.8" hidden="false" customHeight="false" outlineLevel="0" collapsed="false">
      <c r="A74" s="0" t="n">
        <v>5</v>
      </c>
      <c r="B74" s="0" t="s">
        <v>68</v>
      </c>
      <c r="C74" s="0" t="s">
        <v>103</v>
      </c>
      <c r="D74" s="0" t="s">
        <v>104</v>
      </c>
      <c r="E74" s="0" t="n">
        <v>1</v>
      </c>
      <c r="F74" s="7" t="n">
        <v>0</v>
      </c>
      <c r="G74" s="8" t="n">
        <f aca="false">E74*F74</f>
        <v>0</v>
      </c>
      <c r="H74" s="0" t="s">
        <v>98</v>
      </c>
    </row>
    <row r="75" customFormat="false" ht="12.8" hidden="false" customHeight="false" outlineLevel="0" collapsed="false">
      <c r="A75" s="0" t="n">
        <v>5</v>
      </c>
      <c r="B75" s="0" t="s">
        <v>68</v>
      </c>
      <c r="C75" s="0" t="s">
        <v>105</v>
      </c>
      <c r="D75" s="0" t="s">
        <v>106</v>
      </c>
      <c r="E75" s="0" t="n">
        <v>2</v>
      </c>
      <c r="F75" s="7" t="n">
        <v>0</v>
      </c>
      <c r="G75" s="8" t="n">
        <f aca="false">E75*F75</f>
        <v>0</v>
      </c>
      <c r="H75" s="0" t="s">
        <v>98</v>
      </c>
    </row>
    <row r="76" customFormat="false" ht="12.8" hidden="false" customHeight="false" outlineLevel="0" collapsed="false">
      <c r="A76" s="0" t="n">
        <v>5</v>
      </c>
      <c r="B76" s="0" t="s">
        <v>68</v>
      </c>
      <c r="C76" s="0" t="s">
        <v>107</v>
      </c>
      <c r="D76" s="0" t="s">
        <v>108</v>
      </c>
      <c r="E76" s="0" t="n">
        <v>1</v>
      </c>
      <c r="F76" s="7" t="n">
        <v>0</v>
      </c>
      <c r="G76" s="8" t="n">
        <f aca="false">E76*F76</f>
        <v>0</v>
      </c>
      <c r="H76" s="0" t="s">
        <v>98</v>
      </c>
    </row>
    <row r="77" customFormat="false" ht="12.8" hidden="false" customHeight="false" outlineLevel="0" collapsed="false">
      <c r="A77" s="0" t="n">
        <v>5</v>
      </c>
      <c r="B77" s="0" t="s">
        <v>68</v>
      </c>
      <c r="C77" s="0" t="s">
        <v>109</v>
      </c>
      <c r="D77" s="0" t="s">
        <v>110</v>
      </c>
      <c r="E77" s="0" t="n">
        <v>5</v>
      </c>
      <c r="F77" s="7" t="n">
        <v>0</v>
      </c>
      <c r="G77" s="8" t="n">
        <f aca="false">E77*F77</f>
        <v>0</v>
      </c>
      <c r="H77" s="0" t="s">
        <v>98</v>
      </c>
    </row>
    <row r="78" customFormat="false" ht="12.8" hidden="false" customHeight="false" outlineLevel="0" collapsed="false">
      <c r="A78" s="0" t="n">
        <v>5</v>
      </c>
      <c r="B78" s="0" t="s">
        <v>68</v>
      </c>
      <c r="C78" s="0" t="s">
        <v>111</v>
      </c>
      <c r="D78" s="0" t="s">
        <v>112</v>
      </c>
      <c r="E78" s="0" t="n">
        <v>1</v>
      </c>
      <c r="F78" s="7" t="n">
        <v>0</v>
      </c>
      <c r="G78" s="8" t="n">
        <f aca="false">E78*F78</f>
        <v>0</v>
      </c>
      <c r="H78" s="0" t="s">
        <v>98</v>
      </c>
    </row>
    <row r="79" customFormat="false" ht="12.8" hidden="false" customHeight="false" outlineLevel="0" collapsed="false">
      <c r="A79" s="0" t="n">
        <v>5</v>
      </c>
      <c r="B79" s="0" t="s">
        <v>68</v>
      </c>
      <c r="C79" s="0" t="s">
        <v>113</v>
      </c>
      <c r="D79" s="0" t="s">
        <v>114</v>
      </c>
      <c r="E79" s="0" t="n">
        <v>2</v>
      </c>
      <c r="F79" s="7" t="n">
        <v>0</v>
      </c>
      <c r="G79" s="8" t="n">
        <f aca="false">E79*F79</f>
        <v>0</v>
      </c>
      <c r="H79" s="0" t="s">
        <v>87</v>
      </c>
    </row>
    <row r="80" customFormat="false" ht="12.8" hidden="false" customHeight="false" outlineLevel="0" collapsed="false">
      <c r="A80" s="0" t="n">
        <v>5</v>
      </c>
      <c r="B80" s="0" t="s">
        <v>68</v>
      </c>
      <c r="C80" s="0" t="s">
        <v>115</v>
      </c>
      <c r="D80" s="0" t="s">
        <v>116</v>
      </c>
      <c r="E80" s="0" t="n">
        <v>2</v>
      </c>
      <c r="F80" s="7" t="n">
        <v>0</v>
      </c>
      <c r="G80" s="8" t="n">
        <f aca="false">E80*F80</f>
        <v>0</v>
      </c>
      <c r="H80" s="0" t="s">
        <v>87</v>
      </c>
    </row>
    <row r="81" customFormat="false" ht="12.8" hidden="false" customHeight="false" outlineLevel="0" collapsed="false">
      <c r="A81" s="0" t="n">
        <v>5</v>
      </c>
      <c r="B81" s="0" t="s">
        <v>68</v>
      </c>
      <c r="C81" s="0" t="s">
        <v>117</v>
      </c>
      <c r="D81" s="0" t="s">
        <v>118</v>
      </c>
      <c r="E81" s="0" t="n">
        <v>1</v>
      </c>
      <c r="F81" s="7" t="n">
        <v>0</v>
      </c>
      <c r="G81" s="8" t="n">
        <f aca="false">E81*F81</f>
        <v>0</v>
      </c>
      <c r="H81" s="0" t="s">
        <v>98</v>
      </c>
    </row>
    <row r="82" customFormat="false" ht="12.8" hidden="false" customHeight="false" outlineLevel="0" collapsed="false">
      <c r="A82" s="0" t="n">
        <v>6</v>
      </c>
      <c r="B82" s="0" t="s">
        <v>69</v>
      </c>
      <c r="C82" s="0" t="s">
        <v>85</v>
      </c>
      <c r="D82" s="0" t="s">
        <v>86</v>
      </c>
      <c r="E82" s="0" t="n">
        <v>1</v>
      </c>
      <c r="F82" s="7" t="n">
        <v>0</v>
      </c>
      <c r="G82" s="8" t="n">
        <f aca="false">E82*F82</f>
        <v>0</v>
      </c>
      <c r="H82" s="0" t="s">
        <v>87</v>
      </c>
    </row>
    <row r="83" customFormat="false" ht="12.8" hidden="false" customHeight="false" outlineLevel="0" collapsed="false">
      <c r="A83" s="0" t="n">
        <v>6</v>
      </c>
      <c r="B83" s="0" t="s">
        <v>69</v>
      </c>
      <c r="C83" s="0" t="s">
        <v>88</v>
      </c>
      <c r="D83" s="0" t="s">
        <v>89</v>
      </c>
      <c r="E83" s="0" t="n">
        <v>1</v>
      </c>
      <c r="F83" s="7" t="n">
        <v>0</v>
      </c>
      <c r="G83" s="8" t="n">
        <f aca="false">E83*F83</f>
        <v>0</v>
      </c>
      <c r="H83" s="0" t="s">
        <v>87</v>
      </c>
    </row>
    <row r="84" customFormat="false" ht="12.8" hidden="false" customHeight="false" outlineLevel="0" collapsed="false">
      <c r="A84" s="0" t="n">
        <v>6</v>
      </c>
      <c r="B84" s="0" t="s">
        <v>69</v>
      </c>
      <c r="C84" s="0" t="s">
        <v>90</v>
      </c>
      <c r="D84" s="0" t="s">
        <v>91</v>
      </c>
      <c r="E84" s="0" t="n">
        <v>1</v>
      </c>
      <c r="F84" s="7" t="n">
        <v>0</v>
      </c>
      <c r="G84" s="8" t="n">
        <f aca="false">E84*F84</f>
        <v>0</v>
      </c>
      <c r="H84" s="0" t="s">
        <v>87</v>
      </c>
    </row>
    <row r="85" customFormat="false" ht="12.8" hidden="false" customHeight="false" outlineLevel="0" collapsed="false">
      <c r="A85" s="0" t="n">
        <v>6</v>
      </c>
      <c r="B85" s="0" t="s">
        <v>69</v>
      </c>
      <c r="C85" s="0" t="s">
        <v>92</v>
      </c>
      <c r="D85" s="0" t="s">
        <v>93</v>
      </c>
      <c r="E85" s="0" t="n">
        <v>1</v>
      </c>
      <c r="F85" s="7" t="n">
        <v>0</v>
      </c>
      <c r="G85" s="8" t="n">
        <f aca="false">E85*F85</f>
        <v>0</v>
      </c>
      <c r="H85" s="0" t="s">
        <v>87</v>
      </c>
    </row>
    <row r="86" customFormat="false" ht="12.8" hidden="false" customHeight="false" outlineLevel="0" collapsed="false">
      <c r="A86" s="0" t="n">
        <v>6</v>
      </c>
      <c r="B86" s="0" t="s">
        <v>69</v>
      </c>
      <c r="C86" s="0" t="s">
        <v>94</v>
      </c>
      <c r="D86" s="0" t="s">
        <v>95</v>
      </c>
      <c r="E86" s="0" t="n">
        <v>1</v>
      </c>
      <c r="F86" s="7" t="n">
        <v>0</v>
      </c>
      <c r="G86" s="8" t="n">
        <f aca="false">E86*F86</f>
        <v>0</v>
      </c>
      <c r="H86" s="0" t="s">
        <v>87</v>
      </c>
    </row>
    <row r="87" customFormat="false" ht="12.8" hidden="false" customHeight="false" outlineLevel="0" collapsed="false">
      <c r="A87" s="0" t="n">
        <v>6</v>
      </c>
      <c r="B87" s="0" t="s">
        <v>69</v>
      </c>
      <c r="C87" s="0" t="s">
        <v>96</v>
      </c>
      <c r="D87" s="0" t="s">
        <v>97</v>
      </c>
      <c r="E87" s="0" t="n">
        <v>1</v>
      </c>
      <c r="F87" s="7" t="n">
        <v>0</v>
      </c>
      <c r="G87" s="8" t="n">
        <f aca="false">E87*F87</f>
        <v>0</v>
      </c>
      <c r="H87" s="0" t="s">
        <v>98</v>
      </c>
    </row>
    <row r="88" customFormat="false" ht="12.8" hidden="false" customHeight="false" outlineLevel="0" collapsed="false">
      <c r="A88" s="0" t="n">
        <v>6</v>
      </c>
      <c r="B88" s="0" t="s">
        <v>69</v>
      </c>
      <c r="C88" s="0" t="s">
        <v>99</v>
      </c>
      <c r="D88" s="0" t="s">
        <v>100</v>
      </c>
      <c r="E88" s="0" t="n">
        <v>2.5</v>
      </c>
      <c r="F88" s="7" t="n">
        <v>0</v>
      </c>
      <c r="G88" s="8" t="n">
        <f aca="false">E88*F88</f>
        <v>0</v>
      </c>
      <c r="H88" s="0" t="s">
        <v>98</v>
      </c>
    </row>
    <row r="89" customFormat="false" ht="12.8" hidden="false" customHeight="false" outlineLevel="0" collapsed="false">
      <c r="A89" s="0" t="n">
        <v>6</v>
      </c>
      <c r="B89" s="0" t="s">
        <v>69</v>
      </c>
      <c r="C89" s="0" t="s">
        <v>101</v>
      </c>
      <c r="D89" s="0" t="s">
        <v>102</v>
      </c>
      <c r="E89" s="0" t="n">
        <v>1</v>
      </c>
      <c r="F89" s="7" t="n">
        <v>0</v>
      </c>
      <c r="G89" s="8" t="n">
        <f aca="false">E89*F89</f>
        <v>0</v>
      </c>
      <c r="H89" s="0" t="s">
        <v>98</v>
      </c>
    </row>
    <row r="90" customFormat="false" ht="12.8" hidden="false" customHeight="false" outlineLevel="0" collapsed="false">
      <c r="A90" s="0" t="n">
        <v>6</v>
      </c>
      <c r="B90" s="0" t="s">
        <v>69</v>
      </c>
      <c r="C90" s="0" t="s">
        <v>103</v>
      </c>
      <c r="D90" s="0" t="s">
        <v>104</v>
      </c>
      <c r="E90" s="0" t="n">
        <v>1</v>
      </c>
      <c r="F90" s="7" t="n">
        <v>0</v>
      </c>
      <c r="G90" s="8" t="n">
        <f aca="false">E90*F90</f>
        <v>0</v>
      </c>
      <c r="H90" s="0" t="s">
        <v>98</v>
      </c>
    </row>
    <row r="91" customFormat="false" ht="12.8" hidden="false" customHeight="false" outlineLevel="0" collapsed="false">
      <c r="A91" s="0" t="n">
        <v>6</v>
      </c>
      <c r="B91" s="0" t="s">
        <v>69</v>
      </c>
      <c r="C91" s="0" t="s">
        <v>105</v>
      </c>
      <c r="D91" s="0" t="s">
        <v>106</v>
      </c>
      <c r="E91" s="0" t="n">
        <v>2</v>
      </c>
      <c r="F91" s="7" t="n">
        <v>0</v>
      </c>
      <c r="G91" s="8" t="n">
        <f aca="false">E91*F91</f>
        <v>0</v>
      </c>
      <c r="H91" s="0" t="s">
        <v>98</v>
      </c>
    </row>
    <row r="92" customFormat="false" ht="12.8" hidden="false" customHeight="false" outlineLevel="0" collapsed="false">
      <c r="A92" s="0" t="n">
        <v>6</v>
      </c>
      <c r="B92" s="0" t="s">
        <v>69</v>
      </c>
      <c r="C92" s="0" t="s">
        <v>107</v>
      </c>
      <c r="D92" s="0" t="s">
        <v>108</v>
      </c>
      <c r="E92" s="0" t="n">
        <v>1</v>
      </c>
      <c r="F92" s="7" t="n">
        <v>0</v>
      </c>
      <c r="G92" s="8" t="n">
        <f aca="false">E92*F92</f>
        <v>0</v>
      </c>
      <c r="H92" s="0" t="s">
        <v>98</v>
      </c>
    </row>
    <row r="93" customFormat="false" ht="12.8" hidden="false" customHeight="false" outlineLevel="0" collapsed="false">
      <c r="A93" s="0" t="n">
        <v>6</v>
      </c>
      <c r="B93" s="0" t="s">
        <v>69</v>
      </c>
      <c r="C93" s="0" t="s">
        <v>109</v>
      </c>
      <c r="D93" s="0" t="s">
        <v>110</v>
      </c>
      <c r="E93" s="0" t="n">
        <v>5</v>
      </c>
      <c r="F93" s="7" t="n">
        <v>0</v>
      </c>
      <c r="G93" s="8" t="n">
        <f aca="false">E93*F93</f>
        <v>0</v>
      </c>
      <c r="H93" s="0" t="s">
        <v>98</v>
      </c>
    </row>
    <row r="94" customFormat="false" ht="12.8" hidden="false" customHeight="false" outlineLevel="0" collapsed="false">
      <c r="A94" s="0" t="n">
        <v>6</v>
      </c>
      <c r="B94" s="0" t="s">
        <v>69</v>
      </c>
      <c r="C94" s="0" t="s">
        <v>111</v>
      </c>
      <c r="D94" s="0" t="s">
        <v>112</v>
      </c>
      <c r="E94" s="0" t="n">
        <v>1</v>
      </c>
      <c r="F94" s="7" t="n">
        <v>0</v>
      </c>
      <c r="G94" s="8" t="n">
        <f aca="false">E94*F94</f>
        <v>0</v>
      </c>
      <c r="H94" s="0" t="s">
        <v>98</v>
      </c>
    </row>
    <row r="95" customFormat="false" ht="12.8" hidden="false" customHeight="false" outlineLevel="0" collapsed="false">
      <c r="A95" s="0" t="n">
        <v>6</v>
      </c>
      <c r="B95" s="0" t="s">
        <v>69</v>
      </c>
      <c r="C95" s="0" t="s">
        <v>113</v>
      </c>
      <c r="D95" s="0" t="s">
        <v>114</v>
      </c>
      <c r="E95" s="0" t="n">
        <v>2</v>
      </c>
      <c r="F95" s="7" t="n">
        <v>0</v>
      </c>
      <c r="G95" s="8" t="n">
        <f aca="false">E95*F95</f>
        <v>0</v>
      </c>
      <c r="H95" s="0" t="s">
        <v>87</v>
      </c>
    </row>
    <row r="96" customFormat="false" ht="12.8" hidden="false" customHeight="false" outlineLevel="0" collapsed="false">
      <c r="A96" s="0" t="n">
        <v>6</v>
      </c>
      <c r="B96" s="0" t="s">
        <v>69</v>
      </c>
      <c r="C96" s="0" t="s">
        <v>115</v>
      </c>
      <c r="D96" s="0" t="s">
        <v>116</v>
      </c>
      <c r="E96" s="0" t="n">
        <v>2</v>
      </c>
      <c r="F96" s="7" t="n">
        <v>0</v>
      </c>
      <c r="G96" s="8" t="n">
        <f aca="false">E96*F96</f>
        <v>0</v>
      </c>
      <c r="H96" s="0" t="s">
        <v>87</v>
      </c>
    </row>
    <row r="97" customFormat="false" ht="12.8" hidden="false" customHeight="false" outlineLevel="0" collapsed="false">
      <c r="A97" s="0" t="n">
        <v>6</v>
      </c>
      <c r="B97" s="0" t="s">
        <v>69</v>
      </c>
      <c r="C97" s="0" t="s">
        <v>117</v>
      </c>
      <c r="D97" s="0" t="s">
        <v>118</v>
      </c>
      <c r="E97" s="0" t="n">
        <v>1</v>
      </c>
      <c r="F97" s="7" t="n">
        <v>0</v>
      </c>
      <c r="G97" s="8" t="n">
        <f aca="false">E97*F97</f>
        <v>0</v>
      </c>
      <c r="H97" s="0" t="s">
        <v>98</v>
      </c>
    </row>
    <row r="98" customFormat="false" ht="12.8" hidden="false" customHeight="false" outlineLevel="0" collapsed="false">
      <c r="A98" s="0" t="n">
        <v>7</v>
      </c>
      <c r="B98" s="0" t="s">
        <v>70</v>
      </c>
      <c r="C98" s="0" t="s">
        <v>85</v>
      </c>
      <c r="D98" s="0" t="s">
        <v>86</v>
      </c>
      <c r="E98" s="0" t="n">
        <v>1</v>
      </c>
      <c r="F98" s="7" t="n">
        <v>0</v>
      </c>
      <c r="G98" s="8" t="n">
        <f aca="false">E98*F98</f>
        <v>0</v>
      </c>
      <c r="H98" s="0" t="s">
        <v>87</v>
      </c>
    </row>
    <row r="99" customFormat="false" ht="12.8" hidden="false" customHeight="false" outlineLevel="0" collapsed="false">
      <c r="A99" s="0" t="n">
        <v>7</v>
      </c>
      <c r="B99" s="0" t="s">
        <v>70</v>
      </c>
      <c r="C99" s="0" t="s">
        <v>88</v>
      </c>
      <c r="D99" s="0" t="s">
        <v>89</v>
      </c>
      <c r="E99" s="0" t="n">
        <v>1</v>
      </c>
      <c r="F99" s="7" t="n">
        <v>0</v>
      </c>
      <c r="G99" s="8" t="n">
        <f aca="false">E99*F99</f>
        <v>0</v>
      </c>
      <c r="H99" s="0" t="s">
        <v>87</v>
      </c>
    </row>
    <row r="100" customFormat="false" ht="12.8" hidden="false" customHeight="false" outlineLevel="0" collapsed="false">
      <c r="A100" s="0" t="n">
        <v>7</v>
      </c>
      <c r="B100" s="0" t="s">
        <v>70</v>
      </c>
      <c r="C100" s="0" t="s">
        <v>90</v>
      </c>
      <c r="D100" s="0" t="s">
        <v>91</v>
      </c>
      <c r="E100" s="0" t="n">
        <v>1</v>
      </c>
      <c r="F100" s="7" t="n">
        <v>0</v>
      </c>
      <c r="G100" s="8" t="n">
        <f aca="false">E100*F100</f>
        <v>0</v>
      </c>
      <c r="H100" s="0" t="s">
        <v>87</v>
      </c>
    </row>
    <row r="101" customFormat="false" ht="12.8" hidden="false" customHeight="false" outlineLevel="0" collapsed="false">
      <c r="A101" s="0" t="n">
        <v>7</v>
      </c>
      <c r="B101" s="0" t="s">
        <v>70</v>
      </c>
      <c r="C101" s="0" t="s">
        <v>92</v>
      </c>
      <c r="D101" s="0" t="s">
        <v>93</v>
      </c>
      <c r="E101" s="0" t="n">
        <v>1</v>
      </c>
      <c r="F101" s="7" t="n">
        <v>0</v>
      </c>
      <c r="G101" s="8" t="n">
        <f aca="false">E101*F101</f>
        <v>0</v>
      </c>
      <c r="H101" s="0" t="s">
        <v>87</v>
      </c>
    </row>
    <row r="102" customFormat="false" ht="12.8" hidden="false" customHeight="false" outlineLevel="0" collapsed="false">
      <c r="A102" s="0" t="n">
        <v>7</v>
      </c>
      <c r="B102" s="0" t="s">
        <v>70</v>
      </c>
      <c r="C102" s="0" t="s">
        <v>94</v>
      </c>
      <c r="D102" s="0" t="s">
        <v>95</v>
      </c>
      <c r="E102" s="0" t="n">
        <v>1</v>
      </c>
      <c r="F102" s="7" t="n">
        <v>0</v>
      </c>
      <c r="G102" s="8" t="n">
        <f aca="false">E102*F102</f>
        <v>0</v>
      </c>
      <c r="H102" s="0" t="s">
        <v>87</v>
      </c>
    </row>
    <row r="103" customFormat="false" ht="12.8" hidden="false" customHeight="false" outlineLevel="0" collapsed="false">
      <c r="A103" s="0" t="n">
        <v>7</v>
      </c>
      <c r="B103" s="0" t="s">
        <v>70</v>
      </c>
      <c r="C103" s="0" t="s">
        <v>96</v>
      </c>
      <c r="D103" s="0" t="s">
        <v>97</v>
      </c>
      <c r="E103" s="0" t="n">
        <v>1</v>
      </c>
      <c r="F103" s="7" t="n">
        <v>0</v>
      </c>
      <c r="G103" s="8" t="n">
        <f aca="false">E103*F103</f>
        <v>0</v>
      </c>
      <c r="H103" s="0" t="s">
        <v>98</v>
      </c>
    </row>
    <row r="104" customFormat="false" ht="12.8" hidden="false" customHeight="false" outlineLevel="0" collapsed="false">
      <c r="A104" s="0" t="n">
        <v>7</v>
      </c>
      <c r="B104" s="0" t="s">
        <v>70</v>
      </c>
      <c r="C104" s="0" t="s">
        <v>99</v>
      </c>
      <c r="D104" s="0" t="s">
        <v>100</v>
      </c>
      <c r="E104" s="0" t="n">
        <v>2.5</v>
      </c>
      <c r="F104" s="7" t="n">
        <v>0</v>
      </c>
      <c r="G104" s="8" t="n">
        <f aca="false">E104*F104</f>
        <v>0</v>
      </c>
      <c r="H104" s="0" t="s">
        <v>98</v>
      </c>
    </row>
    <row r="105" customFormat="false" ht="12.8" hidden="false" customHeight="false" outlineLevel="0" collapsed="false">
      <c r="A105" s="0" t="n">
        <v>7</v>
      </c>
      <c r="B105" s="0" t="s">
        <v>70</v>
      </c>
      <c r="C105" s="0" t="s">
        <v>101</v>
      </c>
      <c r="D105" s="0" t="s">
        <v>102</v>
      </c>
      <c r="E105" s="0" t="n">
        <v>1</v>
      </c>
      <c r="F105" s="7" t="n">
        <v>0</v>
      </c>
      <c r="G105" s="8" t="n">
        <f aca="false">E105*F105</f>
        <v>0</v>
      </c>
      <c r="H105" s="0" t="s">
        <v>98</v>
      </c>
    </row>
    <row r="106" customFormat="false" ht="12.8" hidden="false" customHeight="false" outlineLevel="0" collapsed="false">
      <c r="A106" s="0" t="n">
        <v>7</v>
      </c>
      <c r="B106" s="0" t="s">
        <v>70</v>
      </c>
      <c r="C106" s="0" t="s">
        <v>103</v>
      </c>
      <c r="D106" s="0" t="s">
        <v>104</v>
      </c>
      <c r="E106" s="0" t="n">
        <v>1</v>
      </c>
      <c r="F106" s="7" t="n">
        <v>0</v>
      </c>
      <c r="G106" s="8" t="n">
        <f aca="false">E106*F106</f>
        <v>0</v>
      </c>
      <c r="H106" s="0" t="s">
        <v>98</v>
      </c>
    </row>
    <row r="107" customFormat="false" ht="12.8" hidden="false" customHeight="false" outlineLevel="0" collapsed="false">
      <c r="A107" s="0" t="n">
        <v>7</v>
      </c>
      <c r="B107" s="0" t="s">
        <v>70</v>
      </c>
      <c r="C107" s="0" t="s">
        <v>105</v>
      </c>
      <c r="D107" s="0" t="s">
        <v>106</v>
      </c>
      <c r="E107" s="0" t="n">
        <v>2</v>
      </c>
      <c r="F107" s="7" t="n">
        <v>0</v>
      </c>
      <c r="G107" s="8" t="n">
        <f aca="false">E107*F107</f>
        <v>0</v>
      </c>
      <c r="H107" s="0" t="s">
        <v>98</v>
      </c>
    </row>
    <row r="108" customFormat="false" ht="12.8" hidden="false" customHeight="false" outlineLevel="0" collapsed="false">
      <c r="A108" s="0" t="n">
        <v>7</v>
      </c>
      <c r="B108" s="0" t="s">
        <v>70</v>
      </c>
      <c r="C108" s="0" t="s">
        <v>107</v>
      </c>
      <c r="D108" s="0" t="s">
        <v>108</v>
      </c>
      <c r="E108" s="0" t="n">
        <v>1</v>
      </c>
      <c r="F108" s="7" t="n">
        <v>0</v>
      </c>
      <c r="G108" s="8" t="n">
        <f aca="false">E108*F108</f>
        <v>0</v>
      </c>
      <c r="H108" s="0" t="s">
        <v>98</v>
      </c>
    </row>
    <row r="109" customFormat="false" ht="12.8" hidden="false" customHeight="false" outlineLevel="0" collapsed="false">
      <c r="A109" s="0" t="n">
        <v>7</v>
      </c>
      <c r="B109" s="0" t="s">
        <v>70</v>
      </c>
      <c r="C109" s="0" t="s">
        <v>109</v>
      </c>
      <c r="D109" s="0" t="s">
        <v>110</v>
      </c>
      <c r="E109" s="0" t="n">
        <v>5</v>
      </c>
      <c r="F109" s="7" t="n">
        <v>0</v>
      </c>
      <c r="G109" s="8" t="n">
        <f aca="false">E109*F109</f>
        <v>0</v>
      </c>
      <c r="H109" s="0" t="s">
        <v>98</v>
      </c>
    </row>
    <row r="110" customFormat="false" ht="12.8" hidden="false" customHeight="false" outlineLevel="0" collapsed="false">
      <c r="A110" s="0" t="n">
        <v>7</v>
      </c>
      <c r="B110" s="0" t="s">
        <v>70</v>
      </c>
      <c r="C110" s="0" t="s">
        <v>111</v>
      </c>
      <c r="D110" s="0" t="s">
        <v>112</v>
      </c>
      <c r="E110" s="0" t="n">
        <v>1</v>
      </c>
      <c r="F110" s="7" t="n">
        <v>0</v>
      </c>
      <c r="G110" s="8" t="n">
        <f aca="false">E110*F110</f>
        <v>0</v>
      </c>
      <c r="H110" s="0" t="s">
        <v>98</v>
      </c>
    </row>
    <row r="111" customFormat="false" ht="12.8" hidden="false" customHeight="false" outlineLevel="0" collapsed="false">
      <c r="A111" s="0" t="n">
        <v>7</v>
      </c>
      <c r="B111" s="0" t="s">
        <v>70</v>
      </c>
      <c r="C111" s="0" t="s">
        <v>113</v>
      </c>
      <c r="D111" s="0" t="s">
        <v>114</v>
      </c>
      <c r="E111" s="0" t="n">
        <v>2</v>
      </c>
      <c r="F111" s="7" t="n">
        <v>0</v>
      </c>
      <c r="G111" s="8" t="n">
        <f aca="false">E111*F111</f>
        <v>0</v>
      </c>
      <c r="H111" s="0" t="s">
        <v>87</v>
      </c>
    </row>
    <row r="112" customFormat="false" ht="12.8" hidden="false" customHeight="false" outlineLevel="0" collapsed="false">
      <c r="A112" s="0" t="n">
        <v>7</v>
      </c>
      <c r="B112" s="0" t="s">
        <v>70</v>
      </c>
      <c r="C112" s="0" t="s">
        <v>115</v>
      </c>
      <c r="D112" s="0" t="s">
        <v>116</v>
      </c>
      <c r="E112" s="0" t="n">
        <v>2</v>
      </c>
      <c r="F112" s="7" t="n">
        <v>0</v>
      </c>
      <c r="G112" s="8" t="n">
        <f aca="false">E112*F112</f>
        <v>0</v>
      </c>
      <c r="H112" s="0" t="s">
        <v>87</v>
      </c>
    </row>
    <row r="113" customFormat="false" ht="12.8" hidden="false" customHeight="false" outlineLevel="0" collapsed="false">
      <c r="A113" s="0" t="n">
        <v>7</v>
      </c>
      <c r="B113" s="0" t="s">
        <v>70</v>
      </c>
      <c r="C113" s="0" t="s">
        <v>117</v>
      </c>
      <c r="D113" s="0" t="s">
        <v>118</v>
      </c>
      <c r="E113" s="0" t="n">
        <v>1</v>
      </c>
      <c r="F113" s="7" t="n">
        <v>0</v>
      </c>
      <c r="G113" s="8" t="n">
        <f aca="false">E113*F113</f>
        <v>0</v>
      </c>
      <c r="H113" s="0" t="s">
        <v>98</v>
      </c>
    </row>
    <row r="114" customFormat="false" ht="12.8" hidden="false" customHeight="false" outlineLevel="0" collapsed="false">
      <c r="A114" s="0" t="n">
        <v>8</v>
      </c>
      <c r="B114" s="0" t="s">
        <v>71</v>
      </c>
      <c r="C114" s="0" t="s">
        <v>85</v>
      </c>
      <c r="D114" s="0" t="s">
        <v>86</v>
      </c>
      <c r="E114" s="0" t="n">
        <v>1</v>
      </c>
      <c r="F114" s="7" t="n">
        <v>0</v>
      </c>
      <c r="G114" s="8" t="n">
        <f aca="false">E114*F114</f>
        <v>0</v>
      </c>
      <c r="H114" s="0" t="s">
        <v>87</v>
      </c>
    </row>
    <row r="115" customFormat="false" ht="12.8" hidden="false" customHeight="false" outlineLevel="0" collapsed="false">
      <c r="A115" s="0" t="n">
        <v>8</v>
      </c>
      <c r="B115" s="0" t="s">
        <v>71</v>
      </c>
      <c r="C115" s="0" t="s">
        <v>88</v>
      </c>
      <c r="D115" s="0" t="s">
        <v>89</v>
      </c>
      <c r="E115" s="0" t="n">
        <v>1</v>
      </c>
      <c r="F115" s="7" t="n">
        <v>0</v>
      </c>
      <c r="G115" s="8" t="n">
        <f aca="false">E115*F115</f>
        <v>0</v>
      </c>
      <c r="H115" s="0" t="s">
        <v>87</v>
      </c>
    </row>
    <row r="116" customFormat="false" ht="12.8" hidden="false" customHeight="false" outlineLevel="0" collapsed="false">
      <c r="A116" s="0" t="n">
        <v>8</v>
      </c>
      <c r="B116" s="0" t="s">
        <v>71</v>
      </c>
      <c r="C116" s="0" t="s">
        <v>90</v>
      </c>
      <c r="D116" s="0" t="s">
        <v>91</v>
      </c>
      <c r="E116" s="0" t="n">
        <v>1</v>
      </c>
      <c r="F116" s="7" t="n">
        <v>0</v>
      </c>
      <c r="G116" s="8" t="n">
        <f aca="false">E116*F116</f>
        <v>0</v>
      </c>
      <c r="H116" s="0" t="s">
        <v>87</v>
      </c>
    </row>
    <row r="117" customFormat="false" ht="12.8" hidden="false" customHeight="false" outlineLevel="0" collapsed="false">
      <c r="A117" s="0" t="n">
        <v>8</v>
      </c>
      <c r="B117" s="0" t="s">
        <v>71</v>
      </c>
      <c r="C117" s="0" t="s">
        <v>92</v>
      </c>
      <c r="D117" s="0" t="s">
        <v>93</v>
      </c>
      <c r="E117" s="0" t="n">
        <v>1</v>
      </c>
      <c r="F117" s="7" t="n">
        <v>0</v>
      </c>
      <c r="G117" s="8" t="n">
        <f aca="false">E117*F117</f>
        <v>0</v>
      </c>
      <c r="H117" s="0" t="s">
        <v>87</v>
      </c>
    </row>
    <row r="118" customFormat="false" ht="12.8" hidden="false" customHeight="false" outlineLevel="0" collapsed="false">
      <c r="A118" s="0" t="n">
        <v>8</v>
      </c>
      <c r="B118" s="0" t="s">
        <v>71</v>
      </c>
      <c r="C118" s="0" t="s">
        <v>94</v>
      </c>
      <c r="D118" s="0" t="s">
        <v>95</v>
      </c>
      <c r="E118" s="0" t="n">
        <v>1</v>
      </c>
      <c r="F118" s="7" t="n">
        <v>0</v>
      </c>
      <c r="G118" s="8" t="n">
        <f aca="false">E118*F118</f>
        <v>0</v>
      </c>
      <c r="H118" s="0" t="s">
        <v>87</v>
      </c>
    </row>
    <row r="119" customFormat="false" ht="12.8" hidden="false" customHeight="false" outlineLevel="0" collapsed="false">
      <c r="A119" s="0" t="n">
        <v>8</v>
      </c>
      <c r="B119" s="0" t="s">
        <v>71</v>
      </c>
      <c r="C119" s="0" t="s">
        <v>96</v>
      </c>
      <c r="D119" s="0" t="s">
        <v>97</v>
      </c>
      <c r="E119" s="0" t="n">
        <v>1</v>
      </c>
      <c r="F119" s="7" t="n">
        <v>0</v>
      </c>
      <c r="G119" s="8" t="n">
        <f aca="false">E119*F119</f>
        <v>0</v>
      </c>
      <c r="H119" s="0" t="s">
        <v>98</v>
      </c>
    </row>
    <row r="120" customFormat="false" ht="12.8" hidden="false" customHeight="false" outlineLevel="0" collapsed="false">
      <c r="A120" s="0" t="n">
        <v>8</v>
      </c>
      <c r="B120" s="0" t="s">
        <v>71</v>
      </c>
      <c r="C120" s="0" t="s">
        <v>99</v>
      </c>
      <c r="D120" s="0" t="s">
        <v>100</v>
      </c>
      <c r="E120" s="0" t="n">
        <v>2.5</v>
      </c>
      <c r="F120" s="7" t="n">
        <v>0</v>
      </c>
      <c r="G120" s="8" t="n">
        <f aca="false">E120*F120</f>
        <v>0</v>
      </c>
      <c r="H120" s="0" t="s">
        <v>98</v>
      </c>
    </row>
    <row r="121" customFormat="false" ht="12.8" hidden="false" customHeight="false" outlineLevel="0" collapsed="false">
      <c r="A121" s="0" t="n">
        <v>8</v>
      </c>
      <c r="B121" s="0" t="s">
        <v>71</v>
      </c>
      <c r="C121" s="0" t="s">
        <v>101</v>
      </c>
      <c r="D121" s="0" t="s">
        <v>102</v>
      </c>
      <c r="E121" s="0" t="n">
        <v>1</v>
      </c>
      <c r="F121" s="7" t="n">
        <v>0</v>
      </c>
      <c r="G121" s="8" t="n">
        <f aca="false">E121*F121</f>
        <v>0</v>
      </c>
      <c r="H121" s="0" t="s">
        <v>98</v>
      </c>
    </row>
    <row r="122" customFormat="false" ht="12.8" hidden="false" customHeight="false" outlineLevel="0" collapsed="false">
      <c r="A122" s="0" t="n">
        <v>8</v>
      </c>
      <c r="B122" s="0" t="s">
        <v>71</v>
      </c>
      <c r="C122" s="0" t="s">
        <v>103</v>
      </c>
      <c r="D122" s="0" t="s">
        <v>104</v>
      </c>
      <c r="E122" s="0" t="n">
        <v>1</v>
      </c>
      <c r="F122" s="7" t="n">
        <v>0</v>
      </c>
      <c r="G122" s="8" t="n">
        <f aca="false">E122*F122</f>
        <v>0</v>
      </c>
      <c r="H122" s="0" t="s">
        <v>98</v>
      </c>
    </row>
    <row r="123" customFormat="false" ht="12.8" hidden="false" customHeight="false" outlineLevel="0" collapsed="false">
      <c r="A123" s="0" t="n">
        <v>8</v>
      </c>
      <c r="B123" s="0" t="s">
        <v>71</v>
      </c>
      <c r="C123" s="0" t="s">
        <v>105</v>
      </c>
      <c r="D123" s="0" t="s">
        <v>106</v>
      </c>
      <c r="E123" s="0" t="n">
        <v>2</v>
      </c>
      <c r="F123" s="7" t="n">
        <v>0</v>
      </c>
      <c r="G123" s="8" t="n">
        <f aca="false">E123*F123</f>
        <v>0</v>
      </c>
      <c r="H123" s="0" t="s">
        <v>98</v>
      </c>
    </row>
    <row r="124" customFormat="false" ht="12.8" hidden="false" customHeight="false" outlineLevel="0" collapsed="false">
      <c r="A124" s="0" t="n">
        <v>8</v>
      </c>
      <c r="B124" s="0" t="s">
        <v>71</v>
      </c>
      <c r="C124" s="0" t="s">
        <v>107</v>
      </c>
      <c r="D124" s="0" t="s">
        <v>108</v>
      </c>
      <c r="E124" s="0" t="n">
        <v>1</v>
      </c>
      <c r="F124" s="7" t="n">
        <v>0</v>
      </c>
      <c r="G124" s="8" t="n">
        <f aca="false">E124*F124</f>
        <v>0</v>
      </c>
      <c r="H124" s="0" t="s">
        <v>98</v>
      </c>
    </row>
    <row r="125" customFormat="false" ht="12.8" hidden="false" customHeight="false" outlineLevel="0" collapsed="false">
      <c r="A125" s="0" t="n">
        <v>8</v>
      </c>
      <c r="B125" s="0" t="s">
        <v>71</v>
      </c>
      <c r="C125" s="0" t="s">
        <v>109</v>
      </c>
      <c r="D125" s="0" t="s">
        <v>110</v>
      </c>
      <c r="E125" s="0" t="n">
        <v>5</v>
      </c>
      <c r="F125" s="7" t="n">
        <v>0</v>
      </c>
      <c r="G125" s="8" t="n">
        <f aca="false">E125*F125</f>
        <v>0</v>
      </c>
      <c r="H125" s="0" t="s">
        <v>98</v>
      </c>
    </row>
    <row r="126" customFormat="false" ht="12.8" hidden="false" customHeight="false" outlineLevel="0" collapsed="false">
      <c r="A126" s="0" t="n">
        <v>8</v>
      </c>
      <c r="B126" s="0" t="s">
        <v>71</v>
      </c>
      <c r="C126" s="0" t="s">
        <v>111</v>
      </c>
      <c r="D126" s="0" t="s">
        <v>112</v>
      </c>
      <c r="E126" s="0" t="n">
        <v>1</v>
      </c>
      <c r="F126" s="7" t="n">
        <v>0</v>
      </c>
      <c r="G126" s="8" t="n">
        <f aca="false">E126*F126</f>
        <v>0</v>
      </c>
      <c r="H126" s="0" t="s">
        <v>98</v>
      </c>
    </row>
    <row r="127" customFormat="false" ht="12.8" hidden="false" customHeight="false" outlineLevel="0" collapsed="false">
      <c r="A127" s="0" t="n">
        <v>8</v>
      </c>
      <c r="B127" s="0" t="s">
        <v>71</v>
      </c>
      <c r="C127" s="0" t="s">
        <v>113</v>
      </c>
      <c r="D127" s="0" t="s">
        <v>114</v>
      </c>
      <c r="E127" s="0" t="n">
        <v>2</v>
      </c>
      <c r="F127" s="7" t="n">
        <v>0</v>
      </c>
      <c r="G127" s="8" t="n">
        <f aca="false">E127*F127</f>
        <v>0</v>
      </c>
      <c r="H127" s="0" t="s">
        <v>87</v>
      </c>
    </row>
    <row r="128" customFormat="false" ht="12.8" hidden="false" customHeight="false" outlineLevel="0" collapsed="false">
      <c r="A128" s="0" t="n">
        <v>8</v>
      </c>
      <c r="B128" s="0" t="s">
        <v>71</v>
      </c>
      <c r="C128" s="0" t="s">
        <v>115</v>
      </c>
      <c r="D128" s="0" t="s">
        <v>116</v>
      </c>
      <c r="E128" s="0" t="n">
        <v>2</v>
      </c>
      <c r="F128" s="7" t="n">
        <v>0</v>
      </c>
      <c r="G128" s="8" t="n">
        <f aca="false">E128*F128</f>
        <v>0</v>
      </c>
      <c r="H128" s="0" t="s">
        <v>87</v>
      </c>
    </row>
    <row r="129" customFormat="false" ht="12.8" hidden="false" customHeight="false" outlineLevel="0" collapsed="false">
      <c r="A129" s="0" t="n">
        <v>8</v>
      </c>
      <c r="B129" s="0" t="s">
        <v>71</v>
      </c>
      <c r="C129" s="0" t="s">
        <v>117</v>
      </c>
      <c r="D129" s="0" t="s">
        <v>118</v>
      </c>
      <c r="E129" s="0" t="n">
        <v>1</v>
      </c>
      <c r="F129" s="7" t="n">
        <v>0</v>
      </c>
      <c r="G129" s="8" t="n">
        <f aca="false">E129*F129</f>
        <v>0</v>
      </c>
      <c r="H129" s="0" t="s">
        <v>98</v>
      </c>
    </row>
    <row r="130" customFormat="false" ht="12.8" hidden="false" customHeight="false" outlineLevel="0" collapsed="false">
      <c r="A130" s="0" t="n">
        <v>9</v>
      </c>
      <c r="B130" s="0" t="s">
        <v>72</v>
      </c>
      <c r="C130" s="0" t="s">
        <v>85</v>
      </c>
      <c r="D130" s="0" t="s">
        <v>86</v>
      </c>
      <c r="E130" s="0" t="n">
        <v>1</v>
      </c>
      <c r="F130" s="7" t="n">
        <v>0</v>
      </c>
      <c r="G130" s="8" t="n">
        <f aca="false">E130*F130</f>
        <v>0</v>
      </c>
      <c r="H130" s="0" t="s">
        <v>87</v>
      </c>
    </row>
    <row r="131" customFormat="false" ht="12.8" hidden="false" customHeight="false" outlineLevel="0" collapsed="false">
      <c r="A131" s="0" t="n">
        <v>9</v>
      </c>
      <c r="B131" s="0" t="s">
        <v>72</v>
      </c>
      <c r="C131" s="0" t="s">
        <v>88</v>
      </c>
      <c r="D131" s="0" t="s">
        <v>89</v>
      </c>
      <c r="E131" s="0" t="n">
        <v>1</v>
      </c>
      <c r="F131" s="7" t="n">
        <v>0</v>
      </c>
      <c r="G131" s="8" t="n">
        <f aca="false">E131*F131</f>
        <v>0</v>
      </c>
      <c r="H131" s="0" t="s">
        <v>87</v>
      </c>
    </row>
    <row r="132" customFormat="false" ht="12.8" hidden="false" customHeight="false" outlineLevel="0" collapsed="false">
      <c r="A132" s="0" t="n">
        <v>9</v>
      </c>
      <c r="B132" s="0" t="s">
        <v>72</v>
      </c>
      <c r="C132" s="0" t="s">
        <v>90</v>
      </c>
      <c r="D132" s="0" t="s">
        <v>91</v>
      </c>
      <c r="E132" s="0" t="n">
        <v>1</v>
      </c>
      <c r="F132" s="7" t="n">
        <v>0</v>
      </c>
      <c r="G132" s="8" t="n">
        <f aca="false">E132*F132</f>
        <v>0</v>
      </c>
      <c r="H132" s="0" t="s">
        <v>87</v>
      </c>
    </row>
    <row r="133" customFormat="false" ht="12.8" hidden="false" customHeight="false" outlineLevel="0" collapsed="false">
      <c r="A133" s="0" t="n">
        <v>9</v>
      </c>
      <c r="B133" s="0" t="s">
        <v>72</v>
      </c>
      <c r="C133" s="0" t="s">
        <v>92</v>
      </c>
      <c r="D133" s="0" t="s">
        <v>93</v>
      </c>
      <c r="E133" s="0" t="n">
        <v>1</v>
      </c>
      <c r="F133" s="7" t="n">
        <v>0</v>
      </c>
      <c r="G133" s="8" t="n">
        <f aca="false">E133*F133</f>
        <v>0</v>
      </c>
      <c r="H133" s="0" t="s">
        <v>87</v>
      </c>
    </row>
    <row r="134" customFormat="false" ht="12.8" hidden="false" customHeight="false" outlineLevel="0" collapsed="false">
      <c r="A134" s="0" t="n">
        <v>9</v>
      </c>
      <c r="B134" s="0" t="s">
        <v>72</v>
      </c>
      <c r="C134" s="0" t="s">
        <v>94</v>
      </c>
      <c r="D134" s="0" t="s">
        <v>95</v>
      </c>
      <c r="E134" s="0" t="n">
        <v>1</v>
      </c>
      <c r="F134" s="7" t="n">
        <v>0</v>
      </c>
      <c r="G134" s="8" t="n">
        <f aca="false">E134*F134</f>
        <v>0</v>
      </c>
      <c r="H134" s="0" t="s">
        <v>87</v>
      </c>
    </row>
    <row r="135" customFormat="false" ht="12.8" hidden="false" customHeight="false" outlineLevel="0" collapsed="false">
      <c r="A135" s="0" t="n">
        <v>9</v>
      </c>
      <c r="B135" s="0" t="s">
        <v>72</v>
      </c>
      <c r="C135" s="0" t="s">
        <v>96</v>
      </c>
      <c r="D135" s="0" t="s">
        <v>97</v>
      </c>
      <c r="E135" s="0" t="n">
        <v>1</v>
      </c>
      <c r="F135" s="7" t="n">
        <v>0</v>
      </c>
      <c r="G135" s="8" t="n">
        <f aca="false">E135*F135</f>
        <v>0</v>
      </c>
      <c r="H135" s="0" t="s">
        <v>98</v>
      </c>
    </row>
    <row r="136" customFormat="false" ht="12.8" hidden="false" customHeight="false" outlineLevel="0" collapsed="false">
      <c r="A136" s="0" t="n">
        <v>9</v>
      </c>
      <c r="B136" s="0" t="s">
        <v>72</v>
      </c>
      <c r="C136" s="0" t="s">
        <v>99</v>
      </c>
      <c r="D136" s="0" t="s">
        <v>100</v>
      </c>
      <c r="E136" s="0" t="n">
        <v>2.5</v>
      </c>
      <c r="F136" s="7" t="n">
        <v>0</v>
      </c>
      <c r="G136" s="8" t="n">
        <f aca="false">E136*F136</f>
        <v>0</v>
      </c>
      <c r="H136" s="0" t="s">
        <v>98</v>
      </c>
    </row>
    <row r="137" customFormat="false" ht="12.8" hidden="false" customHeight="false" outlineLevel="0" collapsed="false">
      <c r="A137" s="0" t="n">
        <v>9</v>
      </c>
      <c r="B137" s="0" t="s">
        <v>72</v>
      </c>
      <c r="C137" s="0" t="s">
        <v>101</v>
      </c>
      <c r="D137" s="0" t="s">
        <v>102</v>
      </c>
      <c r="E137" s="0" t="n">
        <v>1</v>
      </c>
      <c r="F137" s="7" t="n">
        <v>0</v>
      </c>
      <c r="G137" s="8" t="n">
        <f aca="false">E137*F137</f>
        <v>0</v>
      </c>
      <c r="H137" s="0" t="s">
        <v>98</v>
      </c>
    </row>
    <row r="138" customFormat="false" ht="12.8" hidden="false" customHeight="false" outlineLevel="0" collapsed="false">
      <c r="A138" s="0" t="n">
        <v>9</v>
      </c>
      <c r="B138" s="0" t="s">
        <v>72</v>
      </c>
      <c r="C138" s="0" t="s">
        <v>103</v>
      </c>
      <c r="D138" s="0" t="s">
        <v>104</v>
      </c>
      <c r="E138" s="0" t="n">
        <v>1</v>
      </c>
      <c r="F138" s="7" t="n">
        <v>0</v>
      </c>
      <c r="G138" s="8" t="n">
        <f aca="false">E138*F138</f>
        <v>0</v>
      </c>
      <c r="H138" s="0" t="s">
        <v>98</v>
      </c>
    </row>
    <row r="139" customFormat="false" ht="12.8" hidden="false" customHeight="false" outlineLevel="0" collapsed="false">
      <c r="A139" s="0" t="n">
        <v>9</v>
      </c>
      <c r="B139" s="0" t="s">
        <v>72</v>
      </c>
      <c r="C139" s="0" t="s">
        <v>105</v>
      </c>
      <c r="D139" s="0" t="s">
        <v>106</v>
      </c>
      <c r="E139" s="0" t="n">
        <v>2</v>
      </c>
      <c r="F139" s="7" t="n">
        <v>0</v>
      </c>
      <c r="G139" s="8" t="n">
        <f aca="false">E139*F139</f>
        <v>0</v>
      </c>
      <c r="H139" s="0" t="s">
        <v>98</v>
      </c>
    </row>
    <row r="140" customFormat="false" ht="12.8" hidden="false" customHeight="false" outlineLevel="0" collapsed="false">
      <c r="A140" s="0" t="n">
        <v>9</v>
      </c>
      <c r="B140" s="0" t="s">
        <v>72</v>
      </c>
      <c r="C140" s="0" t="s">
        <v>107</v>
      </c>
      <c r="D140" s="0" t="s">
        <v>108</v>
      </c>
      <c r="E140" s="0" t="n">
        <v>1</v>
      </c>
      <c r="F140" s="7" t="n">
        <v>0</v>
      </c>
      <c r="G140" s="8" t="n">
        <f aca="false">E140*F140</f>
        <v>0</v>
      </c>
      <c r="H140" s="0" t="s">
        <v>98</v>
      </c>
    </row>
    <row r="141" customFormat="false" ht="12.8" hidden="false" customHeight="false" outlineLevel="0" collapsed="false">
      <c r="A141" s="0" t="n">
        <v>9</v>
      </c>
      <c r="B141" s="0" t="s">
        <v>72</v>
      </c>
      <c r="C141" s="0" t="s">
        <v>109</v>
      </c>
      <c r="D141" s="0" t="s">
        <v>110</v>
      </c>
      <c r="E141" s="0" t="n">
        <v>5</v>
      </c>
      <c r="F141" s="7" t="n">
        <v>0</v>
      </c>
      <c r="G141" s="8" t="n">
        <f aca="false">E141*F141</f>
        <v>0</v>
      </c>
      <c r="H141" s="0" t="s">
        <v>98</v>
      </c>
    </row>
    <row r="142" customFormat="false" ht="12.8" hidden="false" customHeight="false" outlineLevel="0" collapsed="false">
      <c r="A142" s="0" t="n">
        <v>9</v>
      </c>
      <c r="B142" s="0" t="s">
        <v>72</v>
      </c>
      <c r="C142" s="0" t="s">
        <v>111</v>
      </c>
      <c r="D142" s="0" t="s">
        <v>112</v>
      </c>
      <c r="E142" s="0" t="n">
        <v>1</v>
      </c>
      <c r="F142" s="7" t="n">
        <v>0</v>
      </c>
      <c r="G142" s="8" t="n">
        <f aca="false">E142*F142</f>
        <v>0</v>
      </c>
      <c r="H142" s="0" t="s">
        <v>98</v>
      </c>
    </row>
    <row r="143" customFormat="false" ht="12.8" hidden="false" customHeight="false" outlineLevel="0" collapsed="false">
      <c r="A143" s="0" t="n">
        <v>9</v>
      </c>
      <c r="B143" s="0" t="s">
        <v>72</v>
      </c>
      <c r="C143" s="0" t="s">
        <v>113</v>
      </c>
      <c r="D143" s="0" t="s">
        <v>114</v>
      </c>
      <c r="E143" s="0" t="n">
        <v>2</v>
      </c>
      <c r="F143" s="7" t="n">
        <v>0</v>
      </c>
      <c r="G143" s="8" t="n">
        <f aca="false">E143*F143</f>
        <v>0</v>
      </c>
      <c r="H143" s="0" t="s">
        <v>87</v>
      </c>
    </row>
    <row r="144" customFormat="false" ht="12.8" hidden="false" customHeight="false" outlineLevel="0" collapsed="false">
      <c r="A144" s="0" t="n">
        <v>9</v>
      </c>
      <c r="B144" s="0" t="s">
        <v>72</v>
      </c>
      <c r="C144" s="0" t="s">
        <v>115</v>
      </c>
      <c r="D144" s="0" t="s">
        <v>116</v>
      </c>
      <c r="E144" s="0" t="n">
        <v>2</v>
      </c>
      <c r="F144" s="7" t="n">
        <v>0</v>
      </c>
      <c r="G144" s="8" t="n">
        <f aca="false">E144*F144</f>
        <v>0</v>
      </c>
      <c r="H144" s="0" t="s">
        <v>87</v>
      </c>
    </row>
    <row r="145" customFormat="false" ht="12.8" hidden="false" customHeight="false" outlineLevel="0" collapsed="false">
      <c r="A145" s="0" t="n">
        <v>9</v>
      </c>
      <c r="B145" s="0" t="s">
        <v>72</v>
      </c>
      <c r="C145" s="0" t="s">
        <v>117</v>
      </c>
      <c r="D145" s="0" t="s">
        <v>118</v>
      </c>
      <c r="E145" s="0" t="n">
        <v>1</v>
      </c>
      <c r="F145" s="7" t="n">
        <v>0</v>
      </c>
      <c r="G145" s="8" t="n">
        <f aca="false">E145*F145</f>
        <v>0</v>
      </c>
      <c r="H145" s="0" t="s">
        <v>98</v>
      </c>
    </row>
    <row r="146" customFormat="false" ht="12.8" hidden="false" customHeight="false" outlineLevel="0" collapsed="false">
      <c r="A146" s="0" t="n">
        <v>10</v>
      </c>
      <c r="B146" s="0" t="s">
        <v>73</v>
      </c>
      <c r="C146" s="0" t="s">
        <v>85</v>
      </c>
      <c r="D146" s="0" t="s">
        <v>86</v>
      </c>
      <c r="E146" s="0" t="n">
        <v>1</v>
      </c>
      <c r="F146" s="7" t="n">
        <v>0</v>
      </c>
      <c r="G146" s="8" t="n">
        <f aca="false">E146*F146</f>
        <v>0</v>
      </c>
      <c r="H146" s="0" t="s">
        <v>87</v>
      </c>
    </row>
    <row r="147" customFormat="false" ht="12.8" hidden="false" customHeight="false" outlineLevel="0" collapsed="false">
      <c r="A147" s="0" t="n">
        <v>10</v>
      </c>
      <c r="B147" s="0" t="s">
        <v>73</v>
      </c>
      <c r="C147" s="0" t="s">
        <v>88</v>
      </c>
      <c r="D147" s="0" t="s">
        <v>89</v>
      </c>
      <c r="E147" s="0" t="n">
        <v>1</v>
      </c>
      <c r="F147" s="7" t="n">
        <v>0</v>
      </c>
      <c r="G147" s="8" t="n">
        <f aca="false">E147*F147</f>
        <v>0</v>
      </c>
      <c r="H147" s="0" t="s">
        <v>87</v>
      </c>
    </row>
    <row r="148" customFormat="false" ht="12.8" hidden="false" customHeight="false" outlineLevel="0" collapsed="false">
      <c r="A148" s="0" t="n">
        <v>10</v>
      </c>
      <c r="B148" s="0" t="s">
        <v>73</v>
      </c>
      <c r="C148" s="0" t="s">
        <v>90</v>
      </c>
      <c r="D148" s="0" t="s">
        <v>91</v>
      </c>
      <c r="E148" s="0" t="n">
        <v>1</v>
      </c>
      <c r="F148" s="7" t="n">
        <v>0</v>
      </c>
      <c r="G148" s="8" t="n">
        <f aca="false">E148*F148</f>
        <v>0</v>
      </c>
      <c r="H148" s="0" t="s">
        <v>87</v>
      </c>
    </row>
    <row r="149" customFormat="false" ht="12.8" hidden="false" customHeight="false" outlineLevel="0" collapsed="false">
      <c r="A149" s="0" t="n">
        <v>10</v>
      </c>
      <c r="B149" s="0" t="s">
        <v>73</v>
      </c>
      <c r="C149" s="0" t="s">
        <v>92</v>
      </c>
      <c r="D149" s="0" t="s">
        <v>93</v>
      </c>
      <c r="E149" s="0" t="n">
        <v>1</v>
      </c>
      <c r="F149" s="7" t="n">
        <v>0</v>
      </c>
      <c r="G149" s="8" t="n">
        <f aca="false">E149*F149</f>
        <v>0</v>
      </c>
      <c r="H149" s="0" t="s">
        <v>87</v>
      </c>
    </row>
    <row r="150" customFormat="false" ht="12.8" hidden="false" customHeight="false" outlineLevel="0" collapsed="false">
      <c r="A150" s="0" t="n">
        <v>10</v>
      </c>
      <c r="B150" s="0" t="s">
        <v>73</v>
      </c>
      <c r="C150" s="0" t="s">
        <v>94</v>
      </c>
      <c r="D150" s="0" t="s">
        <v>95</v>
      </c>
      <c r="E150" s="0" t="n">
        <v>1</v>
      </c>
      <c r="F150" s="7" t="n">
        <v>0</v>
      </c>
      <c r="G150" s="8" t="n">
        <f aca="false">E150*F150</f>
        <v>0</v>
      </c>
      <c r="H150" s="0" t="s">
        <v>87</v>
      </c>
    </row>
    <row r="151" customFormat="false" ht="12.8" hidden="false" customHeight="false" outlineLevel="0" collapsed="false">
      <c r="A151" s="0" t="n">
        <v>10</v>
      </c>
      <c r="B151" s="0" t="s">
        <v>73</v>
      </c>
      <c r="C151" s="0" t="s">
        <v>96</v>
      </c>
      <c r="D151" s="0" t="s">
        <v>97</v>
      </c>
      <c r="E151" s="0" t="n">
        <v>1</v>
      </c>
      <c r="F151" s="7" t="n">
        <v>0</v>
      </c>
      <c r="G151" s="8" t="n">
        <f aca="false">E151*F151</f>
        <v>0</v>
      </c>
      <c r="H151" s="0" t="s">
        <v>98</v>
      </c>
    </row>
    <row r="152" customFormat="false" ht="12.8" hidden="false" customHeight="false" outlineLevel="0" collapsed="false">
      <c r="A152" s="0" t="n">
        <v>10</v>
      </c>
      <c r="B152" s="0" t="s">
        <v>73</v>
      </c>
      <c r="C152" s="0" t="s">
        <v>99</v>
      </c>
      <c r="D152" s="0" t="s">
        <v>100</v>
      </c>
      <c r="E152" s="0" t="n">
        <v>2.5</v>
      </c>
      <c r="F152" s="7" t="n">
        <v>0</v>
      </c>
      <c r="G152" s="8" t="n">
        <f aca="false">E152*F152</f>
        <v>0</v>
      </c>
      <c r="H152" s="0" t="s">
        <v>98</v>
      </c>
    </row>
    <row r="153" customFormat="false" ht="12.8" hidden="false" customHeight="false" outlineLevel="0" collapsed="false">
      <c r="A153" s="0" t="n">
        <v>10</v>
      </c>
      <c r="B153" s="0" t="s">
        <v>73</v>
      </c>
      <c r="C153" s="0" t="s">
        <v>101</v>
      </c>
      <c r="D153" s="0" t="s">
        <v>102</v>
      </c>
      <c r="E153" s="0" t="n">
        <v>1</v>
      </c>
      <c r="F153" s="7" t="n">
        <v>0</v>
      </c>
      <c r="G153" s="8" t="n">
        <f aca="false">E153*F153</f>
        <v>0</v>
      </c>
      <c r="H153" s="0" t="s">
        <v>98</v>
      </c>
    </row>
    <row r="154" customFormat="false" ht="12.8" hidden="false" customHeight="false" outlineLevel="0" collapsed="false">
      <c r="A154" s="0" t="n">
        <v>10</v>
      </c>
      <c r="B154" s="0" t="s">
        <v>73</v>
      </c>
      <c r="C154" s="0" t="s">
        <v>103</v>
      </c>
      <c r="D154" s="0" t="s">
        <v>104</v>
      </c>
      <c r="E154" s="0" t="n">
        <v>1</v>
      </c>
      <c r="F154" s="7" t="n">
        <v>0</v>
      </c>
      <c r="G154" s="8" t="n">
        <f aca="false">E154*F154</f>
        <v>0</v>
      </c>
      <c r="H154" s="0" t="s">
        <v>98</v>
      </c>
    </row>
    <row r="155" customFormat="false" ht="12.8" hidden="false" customHeight="false" outlineLevel="0" collapsed="false">
      <c r="A155" s="0" t="n">
        <v>10</v>
      </c>
      <c r="B155" s="0" t="s">
        <v>73</v>
      </c>
      <c r="C155" s="0" t="s">
        <v>105</v>
      </c>
      <c r="D155" s="0" t="s">
        <v>106</v>
      </c>
      <c r="E155" s="0" t="n">
        <v>2</v>
      </c>
      <c r="F155" s="7" t="n">
        <v>0</v>
      </c>
      <c r="G155" s="8" t="n">
        <f aca="false">E155*F155</f>
        <v>0</v>
      </c>
      <c r="H155" s="0" t="s">
        <v>98</v>
      </c>
    </row>
    <row r="156" customFormat="false" ht="12.8" hidden="false" customHeight="false" outlineLevel="0" collapsed="false">
      <c r="A156" s="0" t="n">
        <v>10</v>
      </c>
      <c r="B156" s="0" t="s">
        <v>73</v>
      </c>
      <c r="C156" s="0" t="s">
        <v>107</v>
      </c>
      <c r="D156" s="0" t="s">
        <v>108</v>
      </c>
      <c r="E156" s="0" t="n">
        <v>1</v>
      </c>
      <c r="F156" s="7" t="n">
        <v>0</v>
      </c>
      <c r="G156" s="8" t="n">
        <f aca="false">E156*F156</f>
        <v>0</v>
      </c>
      <c r="H156" s="0" t="s">
        <v>98</v>
      </c>
    </row>
    <row r="157" customFormat="false" ht="12.8" hidden="false" customHeight="false" outlineLevel="0" collapsed="false">
      <c r="A157" s="0" t="n">
        <v>10</v>
      </c>
      <c r="B157" s="0" t="s">
        <v>73</v>
      </c>
      <c r="C157" s="0" t="s">
        <v>109</v>
      </c>
      <c r="D157" s="0" t="s">
        <v>110</v>
      </c>
      <c r="E157" s="0" t="n">
        <v>5</v>
      </c>
      <c r="F157" s="7" t="n">
        <v>0</v>
      </c>
      <c r="G157" s="8" t="n">
        <f aca="false">E157*F157</f>
        <v>0</v>
      </c>
      <c r="H157" s="0" t="s">
        <v>98</v>
      </c>
    </row>
    <row r="158" customFormat="false" ht="12.8" hidden="false" customHeight="false" outlineLevel="0" collapsed="false">
      <c r="A158" s="0" t="n">
        <v>10</v>
      </c>
      <c r="B158" s="0" t="s">
        <v>73</v>
      </c>
      <c r="C158" s="0" t="s">
        <v>111</v>
      </c>
      <c r="D158" s="0" t="s">
        <v>112</v>
      </c>
      <c r="E158" s="0" t="n">
        <v>1</v>
      </c>
      <c r="F158" s="7" t="n">
        <v>0</v>
      </c>
      <c r="G158" s="8" t="n">
        <f aca="false">E158*F158</f>
        <v>0</v>
      </c>
      <c r="H158" s="0" t="s">
        <v>98</v>
      </c>
    </row>
    <row r="159" customFormat="false" ht="12.8" hidden="false" customHeight="false" outlineLevel="0" collapsed="false">
      <c r="A159" s="0" t="n">
        <v>10</v>
      </c>
      <c r="B159" s="0" t="s">
        <v>73</v>
      </c>
      <c r="C159" s="0" t="s">
        <v>113</v>
      </c>
      <c r="D159" s="0" t="s">
        <v>114</v>
      </c>
      <c r="E159" s="0" t="n">
        <v>2</v>
      </c>
      <c r="F159" s="7" t="n">
        <v>0</v>
      </c>
      <c r="G159" s="8" t="n">
        <f aca="false">E159*F159</f>
        <v>0</v>
      </c>
      <c r="H159" s="0" t="s">
        <v>87</v>
      </c>
    </row>
    <row r="160" customFormat="false" ht="12.8" hidden="false" customHeight="false" outlineLevel="0" collapsed="false">
      <c r="A160" s="0" t="n">
        <v>10</v>
      </c>
      <c r="B160" s="0" t="s">
        <v>73</v>
      </c>
      <c r="C160" s="0" t="s">
        <v>115</v>
      </c>
      <c r="D160" s="0" t="s">
        <v>116</v>
      </c>
      <c r="E160" s="0" t="n">
        <v>2</v>
      </c>
      <c r="F160" s="7" t="n">
        <v>0</v>
      </c>
      <c r="G160" s="8" t="n">
        <f aca="false">E160*F160</f>
        <v>0</v>
      </c>
      <c r="H160" s="0" t="s">
        <v>87</v>
      </c>
    </row>
    <row r="161" customFormat="false" ht="12.8" hidden="false" customHeight="false" outlineLevel="0" collapsed="false">
      <c r="A161" s="0" t="n">
        <v>10</v>
      </c>
      <c r="B161" s="0" t="s">
        <v>73</v>
      </c>
      <c r="C161" s="0" t="s">
        <v>117</v>
      </c>
      <c r="D161" s="0" t="s">
        <v>118</v>
      </c>
      <c r="E161" s="0" t="n">
        <v>1</v>
      </c>
      <c r="F161" s="7" t="n">
        <v>0</v>
      </c>
      <c r="G161" s="8" t="n">
        <f aca="false">E161*F161</f>
        <v>0</v>
      </c>
      <c r="H161" s="0" t="s">
        <v>98</v>
      </c>
    </row>
    <row r="162" customFormat="false" ht="12.8" hidden="false" customHeight="false" outlineLevel="0" collapsed="false">
      <c r="A162" s="0" t="n">
        <v>11</v>
      </c>
      <c r="B162" s="0" t="s">
        <v>74</v>
      </c>
      <c r="C162" s="0" t="s">
        <v>85</v>
      </c>
      <c r="D162" s="0" t="s">
        <v>86</v>
      </c>
      <c r="E162" s="0" t="n">
        <v>1</v>
      </c>
      <c r="F162" s="7" t="n">
        <v>0</v>
      </c>
      <c r="G162" s="8" t="n">
        <f aca="false">E162*F162</f>
        <v>0</v>
      </c>
      <c r="H162" s="0" t="s">
        <v>87</v>
      </c>
    </row>
    <row r="163" customFormat="false" ht="12.8" hidden="false" customHeight="false" outlineLevel="0" collapsed="false">
      <c r="A163" s="0" t="n">
        <v>11</v>
      </c>
      <c r="B163" s="0" t="s">
        <v>74</v>
      </c>
      <c r="C163" s="0" t="s">
        <v>88</v>
      </c>
      <c r="D163" s="0" t="s">
        <v>89</v>
      </c>
      <c r="E163" s="0" t="n">
        <v>1</v>
      </c>
      <c r="F163" s="7" t="n">
        <v>0</v>
      </c>
      <c r="G163" s="8" t="n">
        <f aca="false">E163*F163</f>
        <v>0</v>
      </c>
      <c r="H163" s="0" t="s">
        <v>87</v>
      </c>
    </row>
    <row r="164" customFormat="false" ht="12.8" hidden="false" customHeight="false" outlineLevel="0" collapsed="false">
      <c r="A164" s="0" t="n">
        <v>11</v>
      </c>
      <c r="B164" s="0" t="s">
        <v>74</v>
      </c>
      <c r="C164" s="0" t="s">
        <v>90</v>
      </c>
      <c r="D164" s="0" t="s">
        <v>91</v>
      </c>
      <c r="E164" s="0" t="n">
        <v>1</v>
      </c>
      <c r="F164" s="7" t="n">
        <v>0</v>
      </c>
      <c r="G164" s="8" t="n">
        <f aca="false">E164*F164</f>
        <v>0</v>
      </c>
      <c r="H164" s="0" t="s">
        <v>87</v>
      </c>
    </row>
    <row r="165" customFormat="false" ht="12.8" hidden="false" customHeight="false" outlineLevel="0" collapsed="false">
      <c r="A165" s="0" t="n">
        <v>11</v>
      </c>
      <c r="B165" s="0" t="s">
        <v>74</v>
      </c>
      <c r="C165" s="0" t="s">
        <v>92</v>
      </c>
      <c r="D165" s="0" t="s">
        <v>93</v>
      </c>
      <c r="E165" s="0" t="n">
        <v>1</v>
      </c>
      <c r="F165" s="7" t="n">
        <v>0</v>
      </c>
      <c r="G165" s="8" t="n">
        <f aca="false">E165*F165</f>
        <v>0</v>
      </c>
      <c r="H165" s="0" t="s">
        <v>87</v>
      </c>
    </row>
    <row r="166" customFormat="false" ht="12.8" hidden="false" customHeight="false" outlineLevel="0" collapsed="false">
      <c r="A166" s="0" t="n">
        <v>11</v>
      </c>
      <c r="B166" s="0" t="s">
        <v>74</v>
      </c>
      <c r="C166" s="0" t="s">
        <v>94</v>
      </c>
      <c r="D166" s="0" t="s">
        <v>95</v>
      </c>
      <c r="E166" s="0" t="n">
        <v>1</v>
      </c>
      <c r="F166" s="7" t="n">
        <v>0</v>
      </c>
      <c r="G166" s="8" t="n">
        <f aca="false">E166*F166</f>
        <v>0</v>
      </c>
      <c r="H166" s="0" t="s">
        <v>87</v>
      </c>
    </row>
    <row r="167" customFormat="false" ht="12.8" hidden="false" customHeight="false" outlineLevel="0" collapsed="false">
      <c r="A167" s="0" t="n">
        <v>11</v>
      </c>
      <c r="B167" s="0" t="s">
        <v>74</v>
      </c>
      <c r="C167" s="0" t="s">
        <v>96</v>
      </c>
      <c r="D167" s="0" t="s">
        <v>97</v>
      </c>
      <c r="E167" s="0" t="n">
        <v>1</v>
      </c>
      <c r="F167" s="7" t="n">
        <v>0</v>
      </c>
      <c r="G167" s="8" t="n">
        <f aca="false">E167*F167</f>
        <v>0</v>
      </c>
      <c r="H167" s="0" t="s">
        <v>98</v>
      </c>
    </row>
    <row r="168" customFormat="false" ht="12.8" hidden="false" customHeight="false" outlineLevel="0" collapsed="false">
      <c r="A168" s="0" t="n">
        <v>11</v>
      </c>
      <c r="B168" s="0" t="s">
        <v>74</v>
      </c>
      <c r="C168" s="0" t="s">
        <v>99</v>
      </c>
      <c r="D168" s="0" t="s">
        <v>100</v>
      </c>
      <c r="E168" s="0" t="n">
        <v>2.5</v>
      </c>
      <c r="F168" s="7" t="n">
        <v>0</v>
      </c>
      <c r="G168" s="8" t="n">
        <f aca="false">E168*F168</f>
        <v>0</v>
      </c>
      <c r="H168" s="0" t="s">
        <v>98</v>
      </c>
    </row>
    <row r="169" customFormat="false" ht="12.8" hidden="false" customHeight="false" outlineLevel="0" collapsed="false">
      <c r="A169" s="0" t="n">
        <v>11</v>
      </c>
      <c r="B169" s="0" t="s">
        <v>74</v>
      </c>
      <c r="C169" s="0" t="s">
        <v>101</v>
      </c>
      <c r="D169" s="0" t="s">
        <v>102</v>
      </c>
      <c r="E169" s="0" t="n">
        <v>1</v>
      </c>
      <c r="F169" s="7" t="n">
        <v>0</v>
      </c>
      <c r="G169" s="8" t="n">
        <f aca="false">E169*F169</f>
        <v>0</v>
      </c>
      <c r="H169" s="0" t="s">
        <v>98</v>
      </c>
    </row>
    <row r="170" customFormat="false" ht="12.8" hidden="false" customHeight="false" outlineLevel="0" collapsed="false">
      <c r="A170" s="0" t="n">
        <v>11</v>
      </c>
      <c r="B170" s="0" t="s">
        <v>74</v>
      </c>
      <c r="C170" s="0" t="s">
        <v>103</v>
      </c>
      <c r="D170" s="0" t="s">
        <v>104</v>
      </c>
      <c r="E170" s="0" t="n">
        <v>1</v>
      </c>
      <c r="F170" s="7" t="n">
        <v>0</v>
      </c>
      <c r="G170" s="8" t="n">
        <f aca="false">E170*F170</f>
        <v>0</v>
      </c>
      <c r="H170" s="0" t="s">
        <v>98</v>
      </c>
    </row>
    <row r="171" customFormat="false" ht="12.8" hidden="false" customHeight="false" outlineLevel="0" collapsed="false">
      <c r="A171" s="0" t="n">
        <v>11</v>
      </c>
      <c r="B171" s="0" t="s">
        <v>74</v>
      </c>
      <c r="C171" s="0" t="s">
        <v>105</v>
      </c>
      <c r="D171" s="0" t="s">
        <v>106</v>
      </c>
      <c r="E171" s="0" t="n">
        <v>2</v>
      </c>
      <c r="F171" s="7" t="n">
        <v>0</v>
      </c>
      <c r="G171" s="8" t="n">
        <f aca="false">E171*F171</f>
        <v>0</v>
      </c>
      <c r="H171" s="0" t="s">
        <v>98</v>
      </c>
    </row>
    <row r="172" customFormat="false" ht="12.8" hidden="false" customHeight="false" outlineLevel="0" collapsed="false">
      <c r="A172" s="0" t="n">
        <v>11</v>
      </c>
      <c r="B172" s="0" t="s">
        <v>74</v>
      </c>
      <c r="C172" s="0" t="s">
        <v>107</v>
      </c>
      <c r="D172" s="0" t="s">
        <v>108</v>
      </c>
      <c r="E172" s="0" t="n">
        <v>1</v>
      </c>
      <c r="F172" s="7" t="n">
        <v>0</v>
      </c>
      <c r="G172" s="8" t="n">
        <f aca="false">E172*F172</f>
        <v>0</v>
      </c>
      <c r="H172" s="0" t="s">
        <v>98</v>
      </c>
    </row>
    <row r="173" customFormat="false" ht="12.8" hidden="false" customHeight="false" outlineLevel="0" collapsed="false">
      <c r="A173" s="0" t="n">
        <v>11</v>
      </c>
      <c r="B173" s="0" t="s">
        <v>74</v>
      </c>
      <c r="C173" s="0" t="s">
        <v>109</v>
      </c>
      <c r="D173" s="0" t="s">
        <v>110</v>
      </c>
      <c r="E173" s="0" t="n">
        <v>5</v>
      </c>
      <c r="F173" s="7" t="n">
        <v>0</v>
      </c>
      <c r="G173" s="8" t="n">
        <f aca="false">E173*F173</f>
        <v>0</v>
      </c>
      <c r="H173" s="0" t="s">
        <v>98</v>
      </c>
    </row>
    <row r="174" customFormat="false" ht="12.8" hidden="false" customHeight="false" outlineLevel="0" collapsed="false">
      <c r="A174" s="0" t="n">
        <v>11</v>
      </c>
      <c r="B174" s="0" t="s">
        <v>74</v>
      </c>
      <c r="C174" s="0" t="s">
        <v>111</v>
      </c>
      <c r="D174" s="0" t="s">
        <v>112</v>
      </c>
      <c r="E174" s="0" t="n">
        <v>1</v>
      </c>
      <c r="F174" s="7" t="n">
        <v>0</v>
      </c>
      <c r="G174" s="8" t="n">
        <f aca="false">E174*F174</f>
        <v>0</v>
      </c>
      <c r="H174" s="0" t="s">
        <v>98</v>
      </c>
    </row>
    <row r="175" customFormat="false" ht="12.8" hidden="false" customHeight="false" outlineLevel="0" collapsed="false">
      <c r="A175" s="0" t="n">
        <v>11</v>
      </c>
      <c r="B175" s="0" t="s">
        <v>74</v>
      </c>
      <c r="C175" s="0" t="s">
        <v>113</v>
      </c>
      <c r="D175" s="0" t="s">
        <v>114</v>
      </c>
      <c r="E175" s="0" t="n">
        <v>2</v>
      </c>
      <c r="F175" s="7" t="n">
        <v>0</v>
      </c>
      <c r="G175" s="8" t="n">
        <f aca="false">E175*F175</f>
        <v>0</v>
      </c>
      <c r="H175" s="0" t="s">
        <v>87</v>
      </c>
    </row>
    <row r="176" customFormat="false" ht="12.8" hidden="false" customHeight="false" outlineLevel="0" collapsed="false">
      <c r="A176" s="0" t="n">
        <v>11</v>
      </c>
      <c r="B176" s="0" t="s">
        <v>74</v>
      </c>
      <c r="C176" s="0" t="s">
        <v>115</v>
      </c>
      <c r="D176" s="0" t="s">
        <v>116</v>
      </c>
      <c r="E176" s="0" t="n">
        <v>2</v>
      </c>
      <c r="F176" s="7" t="n">
        <v>0</v>
      </c>
      <c r="G176" s="8" t="n">
        <f aca="false">E176*F176</f>
        <v>0</v>
      </c>
      <c r="H176" s="0" t="s">
        <v>87</v>
      </c>
    </row>
    <row r="177" customFormat="false" ht="12.8" hidden="false" customHeight="false" outlineLevel="0" collapsed="false">
      <c r="A177" s="0" t="n">
        <v>11</v>
      </c>
      <c r="B177" s="0" t="s">
        <v>74</v>
      </c>
      <c r="C177" s="0" t="s">
        <v>117</v>
      </c>
      <c r="D177" s="0" t="s">
        <v>118</v>
      </c>
      <c r="E177" s="0" t="n">
        <v>1</v>
      </c>
      <c r="F177" s="7" t="n">
        <v>0</v>
      </c>
      <c r="G177" s="8" t="n">
        <f aca="false">E177*F177</f>
        <v>0</v>
      </c>
      <c r="H177" s="0" t="s">
        <v>98</v>
      </c>
    </row>
    <row r="178" customFormat="false" ht="12.8" hidden="false" customHeight="false" outlineLevel="0" collapsed="false">
      <c r="A178" s="0" t="n">
        <v>12</v>
      </c>
      <c r="B178" s="0" t="s">
        <v>75</v>
      </c>
      <c r="C178" s="0" t="s">
        <v>85</v>
      </c>
      <c r="D178" s="0" t="s">
        <v>86</v>
      </c>
      <c r="E178" s="0" t="n">
        <v>1</v>
      </c>
      <c r="F178" s="7" t="n">
        <v>0</v>
      </c>
      <c r="G178" s="8" t="n">
        <f aca="false">E178*F178</f>
        <v>0</v>
      </c>
      <c r="H178" s="0" t="s">
        <v>87</v>
      </c>
    </row>
    <row r="179" customFormat="false" ht="12.8" hidden="false" customHeight="false" outlineLevel="0" collapsed="false">
      <c r="A179" s="0" t="n">
        <v>12</v>
      </c>
      <c r="B179" s="0" t="s">
        <v>75</v>
      </c>
      <c r="C179" s="0" t="s">
        <v>88</v>
      </c>
      <c r="D179" s="0" t="s">
        <v>89</v>
      </c>
      <c r="E179" s="0" t="n">
        <v>1</v>
      </c>
      <c r="F179" s="7" t="n">
        <v>0</v>
      </c>
      <c r="G179" s="8" t="n">
        <f aca="false">E179*F179</f>
        <v>0</v>
      </c>
      <c r="H179" s="0" t="s">
        <v>87</v>
      </c>
    </row>
    <row r="180" customFormat="false" ht="12.8" hidden="false" customHeight="false" outlineLevel="0" collapsed="false">
      <c r="A180" s="0" t="n">
        <v>12</v>
      </c>
      <c r="B180" s="0" t="s">
        <v>75</v>
      </c>
      <c r="C180" s="0" t="s">
        <v>90</v>
      </c>
      <c r="D180" s="0" t="s">
        <v>91</v>
      </c>
      <c r="E180" s="0" t="n">
        <v>1</v>
      </c>
      <c r="F180" s="7" t="n">
        <v>0</v>
      </c>
      <c r="G180" s="8" t="n">
        <f aca="false">E180*F180</f>
        <v>0</v>
      </c>
      <c r="H180" s="0" t="s">
        <v>87</v>
      </c>
    </row>
    <row r="181" customFormat="false" ht="12.8" hidden="false" customHeight="false" outlineLevel="0" collapsed="false">
      <c r="A181" s="0" t="n">
        <v>12</v>
      </c>
      <c r="B181" s="0" t="s">
        <v>75</v>
      </c>
      <c r="C181" s="0" t="s">
        <v>92</v>
      </c>
      <c r="D181" s="0" t="s">
        <v>93</v>
      </c>
      <c r="E181" s="0" t="n">
        <v>1</v>
      </c>
      <c r="F181" s="7" t="n">
        <v>0</v>
      </c>
      <c r="G181" s="8" t="n">
        <f aca="false">E181*F181</f>
        <v>0</v>
      </c>
      <c r="H181" s="0" t="s">
        <v>87</v>
      </c>
    </row>
    <row r="182" customFormat="false" ht="12.8" hidden="false" customHeight="false" outlineLevel="0" collapsed="false">
      <c r="A182" s="0" t="n">
        <v>12</v>
      </c>
      <c r="B182" s="0" t="s">
        <v>75</v>
      </c>
      <c r="C182" s="0" t="s">
        <v>94</v>
      </c>
      <c r="D182" s="0" t="s">
        <v>95</v>
      </c>
      <c r="E182" s="0" t="n">
        <v>1</v>
      </c>
      <c r="F182" s="7" t="n">
        <v>0</v>
      </c>
      <c r="G182" s="8" t="n">
        <f aca="false">E182*F182</f>
        <v>0</v>
      </c>
      <c r="H182" s="0" t="s">
        <v>87</v>
      </c>
    </row>
    <row r="183" customFormat="false" ht="12.8" hidden="false" customHeight="false" outlineLevel="0" collapsed="false">
      <c r="A183" s="0" t="n">
        <v>12</v>
      </c>
      <c r="B183" s="0" t="s">
        <v>75</v>
      </c>
      <c r="C183" s="0" t="s">
        <v>96</v>
      </c>
      <c r="D183" s="0" t="s">
        <v>97</v>
      </c>
      <c r="E183" s="0" t="n">
        <v>1</v>
      </c>
      <c r="F183" s="7" t="n">
        <v>0</v>
      </c>
      <c r="G183" s="8" t="n">
        <f aca="false">E183*F183</f>
        <v>0</v>
      </c>
      <c r="H183" s="0" t="s">
        <v>98</v>
      </c>
    </row>
    <row r="184" customFormat="false" ht="12.8" hidden="false" customHeight="false" outlineLevel="0" collapsed="false">
      <c r="A184" s="0" t="n">
        <v>12</v>
      </c>
      <c r="B184" s="0" t="s">
        <v>75</v>
      </c>
      <c r="C184" s="0" t="s">
        <v>99</v>
      </c>
      <c r="D184" s="0" t="s">
        <v>100</v>
      </c>
      <c r="E184" s="0" t="n">
        <v>2.5</v>
      </c>
      <c r="F184" s="7" t="n">
        <v>0</v>
      </c>
      <c r="G184" s="8" t="n">
        <f aca="false">E184*F184</f>
        <v>0</v>
      </c>
      <c r="H184" s="0" t="s">
        <v>98</v>
      </c>
    </row>
    <row r="185" customFormat="false" ht="12.8" hidden="false" customHeight="false" outlineLevel="0" collapsed="false">
      <c r="A185" s="0" t="n">
        <v>12</v>
      </c>
      <c r="B185" s="0" t="s">
        <v>75</v>
      </c>
      <c r="C185" s="0" t="s">
        <v>101</v>
      </c>
      <c r="D185" s="0" t="s">
        <v>102</v>
      </c>
      <c r="E185" s="0" t="n">
        <v>1</v>
      </c>
      <c r="F185" s="7" t="n">
        <v>0</v>
      </c>
      <c r="G185" s="8" t="n">
        <f aca="false">E185*F185</f>
        <v>0</v>
      </c>
      <c r="H185" s="0" t="s">
        <v>98</v>
      </c>
    </row>
    <row r="186" customFormat="false" ht="12.8" hidden="false" customHeight="false" outlineLevel="0" collapsed="false">
      <c r="A186" s="0" t="n">
        <v>12</v>
      </c>
      <c r="B186" s="0" t="s">
        <v>75</v>
      </c>
      <c r="C186" s="0" t="s">
        <v>103</v>
      </c>
      <c r="D186" s="0" t="s">
        <v>104</v>
      </c>
      <c r="E186" s="0" t="n">
        <v>1</v>
      </c>
      <c r="F186" s="7" t="n">
        <v>0</v>
      </c>
      <c r="G186" s="8" t="n">
        <f aca="false">E186*F186</f>
        <v>0</v>
      </c>
      <c r="H186" s="0" t="s">
        <v>98</v>
      </c>
    </row>
    <row r="187" customFormat="false" ht="12.8" hidden="false" customHeight="false" outlineLevel="0" collapsed="false">
      <c r="A187" s="0" t="n">
        <v>12</v>
      </c>
      <c r="B187" s="0" t="s">
        <v>75</v>
      </c>
      <c r="C187" s="0" t="s">
        <v>105</v>
      </c>
      <c r="D187" s="0" t="s">
        <v>106</v>
      </c>
      <c r="E187" s="0" t="n">
        <v>2</v>
      </c>
      <c r="F187" s="7" t="n">
        <v>0</v>
      </c>
      <c r="G187" s="8" t="n">
        <f aca="false">E187*F187</f>
        <v>0</v>
      </c>
      <c r="H187" s="0" t="s">
        <v>98</v>
      </c>
    </row>
    <row r="188" customFormat="false" ht="12.8" hidden="false" customHeight="false" outlineLevel="0" collapsed="false">
      <c r="A188" s="0" t="n">
        <v>12</v>
      </c>
      <c r="B188" s="0" t="s">
        <v>75</v>
      </c>
      <c r="C188" s="0" t="s">
        <v>107</v>
      </c>
      <c r="D188" s="0" t="s">
        <v>108</v>
      </c>
      <c r="E188" s="0" t="n">
        <v>1</v>
      </c>
      <c r="F188" s="7" t="n">
        <v>0</v>
      </c>
      <c r="G188" s="8" t="n">
        <f aca="false">E188*F188</f>
        <v>0</v>
      </c>
      <c r="H188" s="0" t="s">
        <v>98</v>
      </c>
    </row>
    <row r="189" customFormat="false" ht="12.8" hidden="false" customHeight="false" outlineLevel="0" collapsed="false">
      <c r="A189" s="0" t="n">
        <v>12</v>
      </c>
      <c r="B189" s="0" t="s">
        <v>75</v>
      </c>
      <c r="C189" s="0" t="s">
        <v>109</v>
      </c>
      <c r="D189" s="0" t="s">
        <v>110</v>
      </c>
      <c r="E189" s="0" t="n">
        <v>5</v>
      </c>
      <c r="F189" s="7" t="n">
        <v>0</v>
      </c>
      <c r="G189" s="8" t="n">
        <f aca="false">E189*F189</f>
        <v>0</v>
      </c>
      <c r="H189" s="0" t="s">
        <v>98</v>
      </c>
    </row>
    <row r="190" customFormat="false" ht="12.8" hidden="false" customHeight="false" outlineLevel="0" collapsed="false">
      <c r="A190" s="0" t="n">
        <v>12</v>
      </c>
      <c r="B190" s="0" t="s">
        <v>75</v>
      </c>
      <c r="C190" s="0" t="s">
        <v>111</v>
      </c>
      <c r="D190" s="0" t="s">
        <v>112</v>
      </c>
      <c r="E190" s="0" t="n">
        <v>1</v>
      </c>
      <c r="F190" s="7" t="n">
        <v>0</v>
      </c>
      <c r="G190" s="8" t="n">
        <f aca="false">E190*F190</f>
        <v>0</v>
      </c>
      <c r="H190" s="0" t="s">
        <v>98</v>
      </c>
    </row>
    <row r="191" customFormat="false" ht="12.8" hidden="false" customHeight="false" outlineLevel="0" collapsed="false">
      <c r="A191" s="0" t="n">
        <v>12</v>
      </c>
      <c r="B191" s="0" t="s">
        <v>75</v>
      </c>
      <c r="C191" s="0" t="s">
        <v>113</v>
      </c>
      <c r="D191" s="0" t="s">
        <v>114</v>
      </c>
      <c r="E191" s="0" t="n">
        <v>2</v>
      </c>
      <c r="F191" s="7" t="n">
        <v>0</v>
      </c>
      <c r="G191" s="8" t="n">
        <f aca="false">E191*F191</f>
        <v>0</v>
      </c>
      <c r="H191" s="0" t="s">
        <v>87</v>
      </c>
    </row>
    <row r="192" customFormat="false" ht="12.8" hidden="false" customHeight="false" outlineLevel="0" collapsed="false">
      <c r="A192" s="0" t="n">
        <v>12</v>
      </c>
      <c r="B192" s="0" t="s">
        <v>75</v>
      </c>
      <c r="C192" s="0" t="s">
        <v>115</v>
      </c>
      <c r="D192" s="0" t="s">
        <v>116</v>
      </c>
      <c r="E192" s="0" t="n">
        <v>2</v>
      </c>
      <c r="F192" s="7" t="n">
        <v>0</v>
      </c>
      <c r="G192" s="8" t="n">
        <f aca="false">E192*F192</f>
        <v>0</v>
      </c>
      <c r="H192" s="0" t="s">
        <v>87</v>
      </c>
    </row>
    <row r="193" customFormat="false" ht="12.8" hidden="false" customHeight="false" outlineLevel="0" collapsed="false">
      <c r="A193" s="0" t="n">
        <v>12</v>
      </c>
      <c r="B193" s="0" t="s">
        <v>75</v>
      </c>
      <c r="C193" s="0" t="s">
        <v>117</v>
      </c>
      <c r="D193" s="0" t="s">
        <v>118</v>
      </c>
      <c r="E193" s="0" t="n">
        <v>1</v>
      </c>
      <c r="F193" s="7" t="n">
        <v>0</v>
      </c>
      <c r="G193" s="8" t="n">
        <f aca="false">E193*F193</f>
        <v>0</v>
      </c>
      <c r="H193" s="0" t="s">
        <v>98</v>
      </c>
    </row>
    <row r="194" customFormat="false" ht="12.8" hidden="false" customHeight="false" outlineLevel="0" collapsed="false">
      <c r="A194" s="0" t="n">
        <v>13</v>
      </c>
      <c r="B194" s="0" t="s">
        <v>76</v>
      </c>
      <c r="C194" s="0" t="s">
        <v>85</v>
      </c>
      <c r="D194" s="0" t="s">
        <v>86</v>
      </c>
      <c r="E194" s="0" t="n">
        <v>1</v>
      </c>
      <c r="F194" s="7" t="n">
        <v>0</v>
      </c>
      <c r="G194" s="8" t="n">
        <f aca="false">E194*F194</f>
        <v>0</v>
      </c>
      <c r="H194" s="0" t="s">
        <v>87</v>
      </c>
    </row>
    <row r="195" customFormat="false" ht="12.8" hidden="false" customHeight="false" outlineLevel="0" collapsed="false">
      <c r="A195" s="0" t="n">
        <v>13</v>
      </c>
      <c r="B195" s="0" t="s">
        <v>76</v>
      </c>
      <c r="C195" s="0" t="s">
        <v>88</v>
      </c>
      <c r="D195" s="0" t="s">
        <v>89</v>
      </c>
      <c r="E195" s="0" t="n">
        <v>1</v>
      </c>
      <c r="F195" s="7" t="n">
        <v>0</v>
      </c>
      <c r="G195" s="8" t="n">
        <f aca="false">E195*F195</f>
        <v>0</v>
      </c>
      <c r="H195" s="0" t="s">
        <v>87</v>
      </c>
    </row>
    <row r="196" customFormat="false" ht="12.8" hidden="false" customHeight="false" outlineLevel="0" collapsed="false">
      <c r="A196" s="0" t="n">
        <v>13</v>
      </c>
      <c r="B196" s="0" t="s">
        <v>76</v>
      </c>
      <c r="C196" s="0" t="s">
        <v>90</v>
      </c>
      <c r="D196" s="0" t="s">
        <v>91</v>
      </c>
      <c r="E196" s="0" t="n">
        <v>1</v>
      </c>
      <c r="F196" s="7" t="n">
        <v>0</v>
      </c>
      <c r="G196" s="8" t="n">
        <f aca="false">E196*F196</f>
        <v>0</v>
      </c>
      <c r="H196" s="0" t="s">
        <v>87</v>
      </c>
    </row>
    <row r="197" customFormat="false" ht="12.8" hidden="false" customHeight="false" outlineLevel="0" collapsed="false">
      <c r="A197" s="0" t="n">
        <v>13</v>
      </c>
      <c r="B197" s="0" t="s">
        <v>76</v>
      </c>
      <c r="C197" s="0" t="s">
        <v>92</v>
      </c>
      <c r="D197" s="0" t="s">
        <v>93</v>
      </c>
      <c r="E197" s="0" t="n">
        <v>1</v>
      </c>
      <c r="F197" s="7" t="n">
        <v>0</v>
      </c>
      <c r="G197" s="8" t="n">
        <f aca="false">E197*F197</f>
        <v>0</v>
      </c>
      <c r="H197" s="0" t="s">
        <v>87</v>
      </c>
    </row>
    <row r="198" customFormat="false" ht="12.8" hidden="false" customHeight="false" outlineLevel="0" collapsed="false">
      <c r="A198" s="0" t="n">
        <v>13</v>
      </c>
      <c r="B198" s="0" t="s">
        <v>76</v>
      </c>
      <c r="C198" s="0" t="s">
        <v>94</v>
      </c>
      <c r="D198" s="0" t="s">
        <v>95</v>
      </c>
      <c r="E198" s="0" t="n">
        <v>1</v>
      </c>
      <c r="F198" s="7" t="n">
        <v>0</v>
      </c>
      <c r="G198" s="8" t="n">
        <f aca="false">E198*F198</f>
        <v>0</v>
      </c>
      <c r="H198" s="0" t="s">
        <v>87</v>
      </c>
    </row>
    <row r="199" customFormat="false" ht="12.8" hidden="false" customHeight="false" outlineLevel="0" collapsed="false">
      <c r="A199" s="0" t="n">
        <v>13</v>
      </c>
      <c r="B199" s="0" t="s">
        <v>76</v>
      </c>
      <c r="C199" s="0" t="s">
        <v>96</v>
      </c>
      <c r="D199" s="0" t="s">
        <v>97</v>
      </c>
      <c r="E199" s="0" t="n">
        <v>1</v>
      </c>
      <c r="F199" s="7" t="n">
        <v>0</v>
      </c>
      <c r="G199" s="8" t="n">
        <f aca="false">E199*F199</f>
        <v>0</v>
      </c>
      <c r="H199" s="0" t="s">
        <v>98</v>
      </c>
    </row>
    <row r="200" customFormat="false" ht="12.8" hidden="false" customHeight="false" outlineLevel="0" collapsed="false">
      <c r="A200" s="0" t="n">
        <v>13</v>
      </c>
      <c r="B200" s="0" t="s">
        <v>76</v>
      </c>
      <c r="C200" s="0" t="s">
        <v>99</v>
      </c>
      <c r="D200" s="0" t="s">
        <v>100</v>
      </c>
      <c r="E200" s="0" t="n">
        <v>2.5</v>
      </c>
      <c r="F200" s="7" t="n">
        <v>0</v>
      </c>
      <c r="G200" s="8" t="n">
        <f aca="false">E200*F200</f>
        <v>0</v>
      </c>
      <c r="H200" s="0" t="s">
        <v>98</v>
      </c>
    </row>
    <row r="201" customFormat="false" ht="12.8" hidden="false" customHeight="false" outlineLevel="0" collapsed="false">
      <c r="A201" s="0" t="n">
        <v>13</v>
      </c>
      <c r="B201" s="0" t="s">
        <v>76</v>
      </c>
      <c r="C201" s="0" t="s">
        <v>101</v>
      </c>
      <c r="D201" s="0" t="s">
        <v>102</v>
      </c>
      <c r="E201" s="0" t="n">
        <v>1</v>
      </c>
      <c r="F201" s="7" t="n">
        <v>0</v>
      </c>
      <c r="G201" s="8" t="n">
        <f aca="false">E201*F201</f>
        <v>0</v>
      </c>
      <c r="H201" s="0" t="s">
        <v>98</v>
      </c>
    </row>
    <row r="202" customFormat="false" ht="12.8" hidden="false" customHeight="false" outlineLevel="0" collapsed="false">
      <c r="A202" s="0" t="n">
        <v>13</v>
      </c>
      <c r="B202" s="0" t="s">
        <v>76</v>
      </c>
      <c r="C202" s="0" t="s">
        <v>103</v>
      </c>
      <c r="D202" s="0" t="s">
        <v>104</v>
      </c>
      <c r="E202" s="0" t="n">
        <v>1</v>
      </c>
      <c r="F202" s="7" t="n">
        <v>0</v>
      </c>
      <c r="G202" s="8" t="n">
        <f aca="false">E202*F202</f>
        <v>0</v>
      </c>
      <c r="H202" s="0" t="s">
        <v>98</v>
      </c>
    </row>
    <row r="203" customFormat="false" ht="12.8" hidden="false" customHeight="false" outlineLevel="0" collapsed="false">
      <c r="A203" s="0" t="n">
        <v>13</v>
      </c>
      <c r="B203" s="0" t="s">
        <v>76</v>
      </c>
      <c r="C203" s="0" t="s">
        <v>105</v>
      </c>
      <c r="D203" s="0" t="s">
        <v>106</v>
      </c>
      <c r="E203" s="0" t="n">
        <v>2</v>
      </c>
      <c r="F203" s="7" t="n">
        <v>0</v>
      </c>
      <c r="G203" s="8" t="n">
        <f aca="false">E203*F203</f>
        <v>0</v>
      </c>
      <c r="H203" s="0" t="s">
        <v>98</v>
      </c>
    </row>
    <row r="204" customFormat="false" ht="12.8" hidden="false" customHeight="false" outlineLevel="0" collapsed="false">
      <c r="A204" s="0" t="n">
        <v>13</v>
      </c>
      <c r="B204" s="0" t="s">
        <v>76</v>
      </c>
      <c r="C204" s="0" t="s">
        <v>107</v>
      </c>
      <c r="D204" s="0" t="s">
        <v>108</v>
      </c>
      <c r="E204" s="0" t="n">
        <v>1</v>
      </c>
      <c r="F204" s="7" t="n">
        <v>0</v>
      </c>
      <c r="G204" s="8" t="n">
        <f aca="false">E204*F204</f>
        <v>0</v>
      </c>
      <c r="H204" s="0" t="s">
        <v>98</v>
      </c>
    </row>
    <row r="205" customFormat="false" ht="12.8" hidden="false" customHeight="false" outlineLevel="0" collapsed="false">
      <c r="A205" s="0" t="n">
        <v>13</v>
      </c>
      <c r="B205" s="0" t="s">
        <v>76</v>
      </c>
      <c r="C205" s="0" t="s">
        <v>109</v>
      </c>
      <c r="D205" s="0" t="s">
        <v>110</v>
      </c>
      <c r="E205" s="0" t="n">
        <v>5</v>
      </c>
      <c r="F205" s="7" t="n">
        <v>0</v>
      </c>
      <c r="G205" s="8" t="n">
        <f aca="false">E205*F205</f>
        <v>0</v>
      </c>
      <c r="H205" s="0" t="s">
        <v>98</v>
      </c>
    </row>
    <row r="206" customFormat="false" ht="12.8" hidden="false" customHeight="false" outlineLevel="0" collapsed="false">
      <c r="A206" s="0" t="n">
        <v>13</v>
      </c>
      <c r="B206" s="0" t="s">
        <v>76</v>
      </c>
      <c r="C206" s="0" t="s">
        <v>111</v>
      </c>
      <c r="D206" s="0" t="s">
        <v>112</v>
      </c>
      <c r="E206" s="0" t="n">
        <v>1</v>
      </c>
      <c r="F206" s="7" t="n">
        <v>0</v>
      </c>
      <c r="G206" s="8" t="n">
        <f aca="false">E206*F206</f>
        <v>0</v>
      </c>
      <c r="H206" s="0" t="s">
        <v>98</v>
      </c>
    </row>
    <row r="207" customFormat="false" ht="12.8" hidden="false" customHeight="false" outlineLevel="0" collapsed="false">
      <c r="A207" s="0" t="n">
        <v>13</v>
      </c>
      <c r="B207" s="0" t="s">
        <v>76</v>
      </c>
      <c r="C207" s="0" t="s">
        <v>113</v>
      </c>
      <c r="D207" s="0" t="s">
        <v>114</v>
      </c>
      <c r="E207" s="0" t="n">
        <v>2</v>
      </c>
      <c r="F207" s="7" t="n">
        <v>0</v>
      </c>
      <c r="G207" s="8" t="n">
        <f aca="false">E207*F207</f>
        <v>0</v>
      </c>
      <c r="H207" s="0" t="s">
        <v>87</v>
      </c>
    </row>
    <row r="208" customFormat="false" ht="12.8" hidden="false" customHeight="false" outlineLevel="0" collapsed="false">
      <c r="A208" s="0" t="n">
        <v>13</v>
      </c>
      <c r="B208" s="0" t="s">
        <v>76</v>
      </c>
      <c r="C208" s="0" t="s">
        <v>115</v>
      </c>
      <c r="D208" s="0" t="s">
        <v>116</v>
      </c>
      <c r="E208" s="0" t="n">
        <v>2</v>
      </c>
      <c r="F208" s="7" t="n">
        <v>0</v>
      </c>
      <c r="G208" s="8" t="n">
        <f aca="false">E208*F208</f>
        <v>0</v>
      </c>
      <c r="H208" s="0" t="s">
        <v>87</v>
      </c>
    </row>
    <row r="209" customFormat="false" ht="12.8" hidden="false" customHeight="false" outlineLevel="0" collapsed="false">
      <c r="A209" s="0" t="n">
        <v>13</v>
      </c>
      <c r="B209" s="0" t="s">
        <v>76</v>
      </c>
      <c r="C209" s="0" t="s">
        <v>117</v>
      </c>
      <c r="D209" s="0" t="s">
        <v>118</v>
      </c>
      <c r="E209" s="0" t="n">
        <v>1</v>
      </c>
      <c r="F209" s="7" t="n">
        <v>0</v>
      </c>
      <c r="G209" s="8" t="n">
        <f aca="false">E209*F209</f>
        <v>0</v>
      </c>
      <c r="H209" s="0" t="s">
        <v>98</v>
      </c>
    </row>
    <row r="210" customFormat="false" ht="12.8" hidden="false" customHeight="false" outlineLevel="0" collapsed="false">
      <c r="A210" s="0" t="n">
        <v>14</v>
      </c>
      <c r="B210" s="0" t="s">
        <v>77</v>
      </c>
      <c r="C210" s="0" t="s">
        <v>85</v>
      </c>
      <c r="D210" s="0" t="s">
        <v>86</v>
      </c>
      <c r="E210" s="0" t="n">
        <v>1</v>
      </c>
      <c r="F210" s="7" t="n">
        <v>0</v>
      </c>
      <c r="G210" s="8" t="n">
        <f aca="false">E210*F210</f>
        <v>0</v>
      </c>
      <c r="H210" s="0" t="s">
        <v>87</v>
      </c>
    </row>
    <row r="211" customFormat="false" ht="12.8" hidden="false" customHeight="false" outlineLevel="0" collapsed="false">
      <c r="A211" s="0" t="n">
        <v>14</v>
      </c>
      <c r="B211" s="0" t="s">
        <v>77</v>
      </c>
      <c r="C211" s="0" t="s">
        <v>88</v>
      </c>
      <c r="D211" s="0" t="s">
        <v>89</v>
      </c>
      <c r="E211" s="0" t="n">
        <v>1</v>
      </c>
      <c r="F211" s="7" t="n">
        <v>0</v>
      </c>
      <c r="G211" s="8" t="n">
        <f aca="false">E211*F211</f>
        <v>0</v>
      </c>
      <c r="H211" s="0" t="s">
        <v>87</v>
      </c>
    </row>
    <row r="212" customFormat="false" ht="12.8" hidden="false" customHeight="false" outlineLevel="0" collapsed="false">
      <c r="A212" s="0" t="n">
        <v>14</v>
      </c>
      <c r="B212" s="0" t="s">
        <v>77</v>
      </c>
      <c r="C212" s="0" t="s">
        <v>90</v>
      </c>
      <c r="D212" s="0" t="s">
        <v>91</v>
      </c>
      <c r="E212" s="0" t="n">
        <v>1</v>
      </c>
      <c r="F212" s="7" t="n">
        <v>0</v>
      </c>
      <c r="G212" s="8" t="n">
        <f aca="false">E212*F212</f>
        <v>0</v>
      </c>
      <c r="H212" s="0" t="s">
        <v>87</v>
      </c>
    </row>
    <row r="213" customFormat="false" ht="12.8" hidden="false" customHeight="false" outlineLevel="0" collapsed="false">
      <c r="A213" s="0" t="n">
        <v>14</v>
      </c>
      <c r="B213" s="0" t="s">
        <v>77</v>
      </c>
      <c r="C213" s="0" t="s">
        <v>92</v>
      </c>
      <c r="D213" s="0" t="s">
        <v>93</v>
      </c>
      <c r="E213" s="0" t="n">
        <v>1</v>
      </c>
      <c r="F213" s="7" t="n">
        <v>0</v>
      </c>
      <c r="G213" s="8" t="n">
        <f aca="false">E213*F213</f>
        <v>0</v>
      </c>
      <c r="H213" s="0" t="s">
        <v>87</v>
      </c>
    </row>
    <row r="214" customFormat="false" ht="12.8" hidden="false" customHeight="false" outlineLevel="0" collapsed="false">
      <c r="A214" s="0" t="n">
        <v>14</v>
      </c>
      <c r="B214" s="0" t="s">
        <v>77</v>
      </c>
      <c r="C214" s="0" t="s">
        <v>94</v>
      </c>
      <c r="D214" s="0" t="s">
        <v>95</v>
      </c>
      <c r="E214" s="0" t="n">
        <v>1</v>
      </c>
      <c r="F214" s="7" t="n">
        <v>0</v>
      </c>
      <c r="G214" s="8" t="n">
        <f aca="false">E214*F214</f>
        <v>0</v>
      </c>
      <c r="H214" s="0" t="s">
        <v>87</v>
      </c>
    </row>
    <row r="215" customFormat="false" ht="12.8" hidden="false" customHeight="false" outlineLevel="0" collapsed="false">
      <c r="A215" s="0" t="n">
        <v>14</v>
      </c>
      <c r="B215" s="0" t="s">
        <v>77</v>
      </c>
      <c r="C215" s="0" t="s">
        <v>96</v>
      </c>
      <c r="D215" s="0" t="s">
        <v>97</v>
      </c>
      <c r="E215" s="0" t="n">
        <v>1</v>
      </c>
      <c r="F215" s="7" t="n">
        <v>0</v>
      </c>
      <c r="G215" s="8" t="n">
        <f aca="false">E215*F215</f>
        <v>0</v>
      </c>
      <c r="H215" s="0" t="s">
        <v>98</v>
      </c>
    </row>
    <row r="216" customFormat="false" ht="12.8" hidden="false" customHeight="false" outlineLevel="0" collapsed="false">
      <c r="A216" s="0" t="n">
        <v>14</v>
      </c>
      <c r="B216" s="0" t="s">
        <v>77</v>
      </c>
      <c r="C216" s="0" t="s">
        <v>99</v>
      </c>
      <c r="D216" s="0" t="s">
        <v>100</v>
      </c>
      <c r="E216" s="0" t="n">
        <v>2.5</v>
      </c>
      <c r="F216" s="7" t="n">
        <v>0</v>
      </c>
      <c r="G216" s="8" t="n">
        <f aca="false">E216*F216</f>
        <v>0</v>
      </c>
      <c r="H216" s="0" t="s">
        <v>98</v>
      </c>
    </row>
    <row r="217" customFormat="false" ht="12.8" hidden="false" customHeight="false" outlineLevel="0" collapsed="false">
      <c r="A217" s="0" t="n">
        <v>14</v>
      </c>
      <c r="B217" s="0" t="s">
        <v>77</v>
      </c>
      <c r="C217" s="0" t="s">
        <v>101</v>
      </c>
      <c r="D217" s="0" t="s">
        <v>102</v>
      </c>
      <c r="E217" s="0" t="n">
        <v>1</v>
      </c>
      <c r="F217" s="7" t="n">
        <v>0</v>
      </c>
      <c r="G217" s="8" t="n">
        <f aca="false">E217*F217</f>
        <v>0</v>
      </c>
      <c r="H217" s="0" t="s">
        <v>98</v>
      </c>
    </row>
    <row r="218" customFormat="false" ht="12.8" hidden="false" customHeight="false" outlineLevel="0" collapsed="false">
      <c r="A218" s="0" t="n">
        <v>14</v>
      </c>
      <c r="B218" s="0" t="s">
        <v>77</v>
      </c>
      <c r="C218" s="0" t="s">
        <v>103</v>
      </c>
      <c r="D218" s="0" t="s">
        <v>104</v>
      </c>
      <c r="E218" s="0" t="n">
        <v>1</v>
      </c>
      <c r="F218" s="7" t="n">
        <v>0</v>
      </c>
      <c r="G218" s="8" t="n">
        <f aca="false">E218*F218</f>
        <v>0</v>
      </c>
      <c r="H218" s="0" t="s">
        <v>98</v>
      </c>
    </row>
    <row r="219" customFormat="false" ht="12.8" hidden="false" customHeight="false" outlineLevel="0" collapsed="false">
      <c r="A219" s="0" t="n">
        <v>14</v>
      </c>
      <c r="B219" s="0" t="s">
        <v>77</v>
      </c>
      <c r="C219" s="0" t="s">
        <v>105</v>
      </c>
      <c r="D219" s="0" t="s">
        <v>106</v>
      </c>
      <c r="E219" s="0" t="n">
        <v>2</v>
      </c>
      <c r="F219" s="7" t="n">
        <v>0</v>
      </c>
      <c r="G219" s="8" t="n">
        <f aca="false">E219*F219</f>
        <v>0</v>
      </c>
      <c r="H219" s="0" t="s">
        <v>98</v>
      </c>
    </row>
    <row r="220" customFormat="false" ht="12.8" hidden="false" customHeight="false" outlineLevel="0" collapsed="false">
      <c r="A220" s="0" t="n">
        <v>14</v>
      </c>
      <c r="B220" s="0" t="s">
        <v>77</v>
      </c>
      <c r="C220" s="0" t="s">
        <v>107</v>
      </c>
      <c r="D220" s="0" t="s">
        <v>108</v>
      </c>
      <c r="E220" s="0" t="n">
        <v>1</v>
      </c>
      <c r="F220" s="7" t="n">
        <v>0</v>
      </c>
      <c r="G220" s="8" t="n">
        <f aca="false">E220*F220</f>
        <v>0</v>
      </c>
      <c r="H220" s="0" t="s">
        <v>98</v>
      </c>
    </row>
    <row r="221" customFormat="false" ht="12.8" hidden="false" customHeight="false" outlineLevel="0" collapsed="false">
      <c r="A221" s="0" t="n">
        <v>14</v>
      </c>
      <c r="B221" s="0" t="s">
        <v>77</v>
      </c>
      <c r="C221" s="0" t="s">
        <v>109</v>
      </c>
      <c r="D221" s="0" t="s">
        <v>110</v>
      </c>
      <c r="E221" s="0" t="n">
        <v>5</v>
      </c>
      <c r="F221" s="7" t="n">
        <v>0</v>
      </c>
      <c r="G221" s="8" t="n">
        <f aca="false">E221*F221</f>
        <v>0</v>
      </c>
      <c r="H221" s="0" t="s">
        <v>98</v>
      </c>
    </row>
    <row r="222" customFormat="false" ht="12.8" hidden="false" customHeight="false" outlineLevel="0" collapsed="false">
      <c r="A222" s="0" t="n">
        <v>14</v>
      </c>
      <c r="B222" s="0" t="s">
        <v>77</v>
      </c>
      <c r="C222" s="0" t="s">
        <v>111</v>
      </c>
      <c r="D222" s="0" t="s">
        <v>112</v>
      </c>
      <c r="E222" s="0" t="n">
        <v>1</v>
      </c>
      <c r="F222" s="7" t="n">
        <v>0</v>
      </c>
      <c r="G222" s="8" t="n">
        <f aca="false">E222*F222</f>
        <v>0</v>
      </c>
      <c r="H222" s="0" t="s">
        <v>98</v>
      </c>
    </row>
    <row r="223" customFormat="false" ht="12.8" hidden="false" customHeight="false" outlineLevel="0" collapsed="false">
      <c r="A223" s="0" t="n">
        <v>14</v>
      </c>
      <c r="B223" s="0" t="s">
        <v>77</v>
      </c>
      <c r="C223" s="0" t="s">
        <v>113</v>
      </c>
      <c r="D223" s="0" t="s">
        <v>114</v>
      </c>
      <c r="E223" s="0" t="n">
        <v>2</v>
      </c>
      <c r="F223" s="7" t="n">
        <v>0</v>
      </c>
      <c r="G223" s="8" t="n">
        <f aca="false">E223*F223</f>
        <v>0</v>
      </c>
      <c r="H223" s="0" t="s">
        <v>87</v>
      </c>
    </row>
    <row r="224" customFormat="false" ht="12.8" hidden="false" customHeight="false" outlineLevel="0" collapsed="false">
      <c r="A224" s="0" t="n">
        <v>14</v>
      </c>
      <c r="B224" s="0" t="s">
        <v>77</v>
      </c>
      <c r="C224" s="0" t="s">
        <v>115</v>
      </c>
      <c r="D224" s="0" t="s">
        <v>116</v>
      </c>
      <c r="E224" s="0" t="n">
        <v>2</v>
      </c>
      <c r="F224" s="7" t="n">
        <v>0</v>
      </c>
      <c r="G224" s="8" t="n">
        <f aca="false">E224*F224</f>
        <v>0</v>
      </c>
      <c r="H224" s="0" t="s">
        <v>87</v>
      </c>
    </row>
    <row r="225" customFormat="false" ht="12.8" hidden="false" customHeight="false" outlineLevel="0" collapsed="false">
      <c r="A225" s="0" t="n">
        <v>14</v>
      </c>
      <c r="B225" s="0" t="s">
        <v>77</v>
      </c>
      <c r="C225" s="0" t="s">
        <v>117</v>
      </c>
      <c r="D225" s="0" t="s">
        <v>118</v>
      </c>
      <c r="E225" s="0" t="n">
        <v>1</v>
      </c>
      <c r="F225" s="7" t="n">
        <v>0</v>
      </c>
      <c r="G225" s="8" t="n">
        <f aca="false">E225*F225</f>
        <v>0</v>
      </c>
      <c r="H225" s="0" t="s">
        <v>98</v>
      </c>
    </row>
    <row r="226" customFormat="false" ht="12.8" hidden="false" customHeight="false" outlineLevel="0" collapsed="false">
      <c r="A226" s="0" t="n">
        <v>15</v>
      </c>
      <c r="B226" s="0" t="s">
        <v>78</v>
      </c>
      <c r="C226" s="0" t="s">
        <v>85</v>
      </c>
      <c r="D226" s="0" t="s">
        <v>86</v>
      </c>
      <c r="E226" s="0" t="n">
        <v>1</v>
      </c>
      <c r="F226" s="7" t="n">
        <v>0</v>
      </c>
      <c r="G226" s="8" t="n">
        <f aca="false">E226*F226</f>
        <v>0</v>
      </c>
      <c r="H226" s="0" t="s">
        <v>87</v>
      </c>
    </row>
    <row r="227" customFormat="false" ht="12.8" hidden="false" customHeight="false" outlineLevel="0" collapsed="false">
      <c r="A227" s="0" t="n">
        <v>15</v>
      </c>
      <c r="B227" s="0" t="s">
        <v>78</v>
      </c>
      <c r="C227" s="0" t="s">
        <v>88</v>
      </c>
      <c r="D227" s="0" t="s">
        <v>89</v>
      </c>
      <c r="E227" s="0" t="n">
        <v>1</v>
      </c>
      <c r="F227" s="7" t="n">
        <v>0</v>
      </c>
      <c r="G227" s="8" t="n">
        <f aca="false">E227*F227</f>
        <v>0</v>
      </c>
      <c r="H227" s="0" t="s">
        <v>87</v>
      </c>
    </row>
    <row r="228" customFormat="false" ht="12.8" hidden="false" customHeight="false" outlineLevel="0" collapsed="false">
      <c r="A228" s="0" t="n">
        <v>15</v>
      </c>
      <c r="B228" s="0" t="s">
        <v>78</v>
      </c>
      <c r="C228" s="0" t="s">
        <v>90</v>
      </c>
      <c r="D228" s="0" t="s">
        <v>91</v>
      </c>
      <c r="E228" s="0" t="n">
        <v>1</v>
      </c>
      <c r="F228" s="7" t="n">
        <v>0</v>
      </c>
      <c r="G228" s="8" t="n">
        <f aca="false">E228*F228</f>
        <v>0</v>
      </c>
      <c r="H228" s="0" t="s">
        <v>87</v>
      </c>
    </row>
    <row r="229" customFormat="false" ht="12.8" hidden="false" customHeight="false" outlineLevel="0" collapsed="false">
      <c r="A229" s="0" t="n">
        <v>15</v>
      </c>
      <c r="B229" s="0" t="s">
        <v>78</v>
      </c>
      <c r="C229" s="0" t="s">
        <v>92</v>
      </c>
      <c r="D229" s="0" t="s">
        <v>93</v>
      </c>
      <c r="E229" s="0" t="n">
        <v>1</v>
      </c>
      <c r="F229" s="7" t="n">
        <v>0</v>
      </c>
      <c r="G229" s="8" t="n">
        <f aca="false">E229*F229</f>
        <v>0</v>
      </c>
      <c r="H229" s="0" t="s">
        <v>87</v>
      </c>
    </row>
    <row r="230" customFormat="false" ht="12.8" hidden="false" customHeight="false" outlineLevel="0" collapsed="false">
      <c r="A230" s="0" t="n">
        <v>15</v>
      </c>
      <c r="B230" s="0" t="s">
        <v>78</v>
      </c>
      <c r="C230" s="0" t="s">
        <v>94</v>
      </c>
      <c r="D230" s="0" t="s">
        <v>95</v>
      </c>
      <c r="E230" s="0" t="n">
        <v>1</v>
      </c>
      <c r="F230" s="7" t="n">
        <v>0</v>
      </c>
      <c r="G230" s="8" t="n">
        <f aca="false">E230*F230</f>
        <v>0</v>
      </c>
      <c r="H230" s="0" t="s">
        <v>87</v>
      </c>
    </row>
    <row r="231" customFormat="false" ht="12.8" hidden="false" customHeight="false" outlineLevel="0" collapsed="false">
      <c r="A231" s="0" t="n">
        <v>15</v>
      </c>
      <c r="B231" s="0" t="s">
        <v>78</v>
      </c>
      <c r="C231" s="0" t="s">
        <v>96</v>
      </c>
      <c r="D231" s="0" t="s">
        <v>97</v>
      </c>
      <c r="E231" s="0" t="n">
        <v>1</v>
      </c>
      <c r="F231" s="7" t="n">
        <v>0</v>
      </c>
      <c r="G231" s="8" t="n">
        <f aca="false">E231*F231</f>
        <v>0</v>
      </c>
      <c r="H231" s="0" t="s">
        <v>98</v>
      </c>
    </row>
    <row r="232" customFormat="false" ht="12.8" hidden="false" customHeight="false" outlineLevel="0" collapsed="false">
      <c r="A232" s="0" t="n">
        <v>15</v>
      </c>
      <c r="B232" s="0" t="s">
        <v>78</v>
      </c>
      <c r="C232" s="0" t="s">
        <v>99</v>
      </c>
      <c r="D232" s="0" t="s">
        <v>100</v>
      </c>
      <c r="E232" s="0" t="n">
        <v>2.5</v>
      </c>
      <c r="F232" s="7" t="n">
        <v>0</v>
      </c>
      <c r="G232" s="8" t="n">
        <f aca="false">E232*F232</f>
        <v>0</v>
      </c>
      <c r="H232" s="0" t="s">
        <v>98</v>
      </c>
    </row>
    <row r="233" customFormat="false" ht="12.8" hidden="false" customHeight="false" outlineLevel="0" collapsed="false">
      <c r="A233" s="0" t="n">
        <v>15</v>
      </c>
      <c r="B233" s="0" t="s">
        <v>78</v>
      </c>
      <c r="C233" s="0" t="s">
        <v>101</v>
      </c>
      <c r="D233" s="0" t="s">
        <v>102</v>
      </c>
      <c r="E233" s="0" t="n">
        <v>1</v>
      </c>
      <c r="F233" s="7" t="n">
        <v>0</v>
      </c>
      <c r="G233" s="8" t="n">
        <f aca="false">E233*F233</f>
        <v>0</v>
      </c>
      <c r="H233" s="0" t="s">
        <v>98</v>
      </c>
    </row>
    <row r="234" customFormat="false" ht="12.8" hidden="false" customHeight="false" outlineLevel="0" collapsed="false">
      <c r="A234" s="0" t="n">
        <v>15</v>
      </c>
      <c r="B234" s="0" t="s">
        <v>78</v>
      </c>
      <c r="C234" s="0" t="s">
        <v>103</v>
      </c>
      <c r="D234" s="0" t="s">
        <v>104</v>
      </c>
      <c r="E234" s="0" t="n">
        <v>1</v>
      </c>
      <c r="F234" s="7" t="n">
        <v>0</v>
      </c>
      <c r="G234" s="8" t="n">
        <f aca="false">E234*F234</f>
        <v>0</v>
      </c>
      <c r="H234" s="0" t="s">
        <v>98</v>
      </c>
    </row>
    <row r="235" customFormat="false" ht="12.8" hidden="false" customHeight="false" outlineLevel="0" collapsed="false">
      <c r="A235" s="0" t="n">
        <v>15</v>
      </c>
      <c r="B235" s="0" t="s">
        <v>78</v>
      </c>
      <c r="C235" s="0" t="s">
        <v>105</v>
      </c>
      <c r="D235" s="0" t="s">
        <v>106</v>
      </c>
      <c r="E235" s="0" t="n">
        <v>2</v>
      </c>
      <c r="F235" s="7" t="n">
        <v>0</v>
      </c>
      <c r="G235" s="8" t="n">
        <f aca="false">E235*F235</f>
        <v>0</v>
      </c>
      <c r="H235" s="0" t="s">
        <v>98</v>
      </c>
    </row>
    <row r="236" customFormat="false" ht="12.8" hidden="false" customHeight="false" outlineLevel="0" collapsed="false">
      <c r="A236" s="0" t="n">
        <v>15</v>
      </c>
      <c r="B236" s="0" t="s">
        <v>78</v>
      </c>
      <c r="C236" s="0" t="s">
        <v>107</v>
      </c>
      <c r="D236" s="0" t="s">
        <v>108</v>
      </c>
      <c r="E236" s="0" t="n">
        <v>1</v>
      </c>
      <c r="F236" s="7" t="n">
        <v>0</v>
      </c>
      <c r="G236" s="8" t="n">
        <f aca="false">E236*F236</f>
        <v>0</v>
      </c>
      <c r="H236" s="0" t="s">
        <v>98</v>
      </c>
    </row>
    <row r="237" customFormat="false" ht="12.8" hidden="false" customHeight="false" outlineLevel="0" collapsed="false">
      <c r="A237" s="0" t="n">
        <v>15</v>
      </c>
      <c r="B237" s="0" t="s">
        <v>78</v>
      </c>
      <c r="C237" s="0" t="s">
        <v>109</v>
      </c>
      <c r="D237" s="0" t="s">
        <v>110</v>
      </c>
      <c r="E237" s="0" t="n">
        <v>5</v>
      </c>
      <c r="F237" s="7" t="n">
        <v>0</v>
      </c>
      <c r="G237" s="8" t="n">
        <f aca="false">E237*F237</f>
        <v>0</v>
      </c>
      <c r="H237" s="0" t="s">
        <v>98</v>
      </c>
    </row>
    <row r="238" customFormat="false" ht="12.8" hidden="false" customHeight="false" outlineLevel="0" collapsed="false">
      <c r="A238" s="0" t="n">
        <v>15</v>
      </c>
      <c r="B238" s="0" t="s">
        <v>78</v>
      </c>
      <c r="C238" s="0" t="s">
        <v>111</v>
      </c>
      <c r="D238" s="0" t="s">
        <v>112</v>
      </c>
      <c r="E238" s="0" t="n">
        <v>1</v>
      </c>
      <c r="F238" s="7" t="n">
        <v>0</v>
      </c>
      <c r="G238" s="8" t="n">
        <f aca="false">E238*F238</f>
        <v>0</v>
      </c>
      <c r="H238" s="0" t="s">
        <v>98</v>
      </c>
    </row>
    <row r="239" customFormat="false" ht="12.8" hidden="false" customHeight="false" outlineLevel="0" collapsed="false">
      <c r="A239" s="0" t="n">
        <v>15</v>
      </c>
      <c r="B239" s="0" t="s">
        <v>78</v>
      </c>
      <c r="C239" s="0" t="s">
        <v>113</v>
      </c>
      <c r="D239" s="0" t="s">
        <v>114</v>
      </c>
      <c r="E239" s="0" t="n">
        <v>2</v>
      </c>
      <c r="F239" s="7" t="n">
        <v>0</v>
      </c>
      <c r="G239" s="8" t="n">
        <f aca="false">E239*F239</f>
        <v>0</v>
      </c>
      <c r="H239" s="0" t="s">
        <v>87</v>
      </c>
    </row>
    <row r="240" customFormat="false" ht="12.8" hidden="false" customHeight="false" outlineLevel="0" collapsed="false">
      <c r="A240" s="0" t="n">
        <v>15</v>
      </c>
      <c r="B240" s="0" t="s">
        <v>78</v>
      </c>
      <c r="C240" s="0" t="s">
        <v>115</v>
      </c>
      <c r="D240" s="0" t="s">
        <v>116</v>
      </c>
      <c r="E240" s="0" t="n">
        <v>2</v>
      </c>
      <c r="F240" s="7" t="n">
        <v>0</v>
      </c>
      <c r="G240" s="8" t="n">
        <f aca="false">E240*F240</f>
        <v>0</v>
      </c>
      <c r="H240" s="0" t="s">
        <v>87</v>
      </c>
    </row>
    <row r="241" customFormat="false" ht="12.8" hidden="false" customHeight="false" outlineLevel="0" collapsed="false">
      <c r="A241" s="0" t="n">
        <v>15</v>
      </c>
      <c r="B241" s="0" t="s">
        <v>78</v>
      </c>
      <c r="C241" s="0" t="s">
        <v>117</v>
      </c>
      <c r="D241" s="0" t="s">
        <v>118</v>
      </c>
      <c r="E241" s="0" t="n">
        <v>1</v>
      </c>
      <c r="F241" s="7" t="n">
        <v>0</v>
      </c>
      <c r="G241" s="8" t="n">
        <f aca="false">E241*F241</f>
        <v>0</v>
      </c>
      <c r="H241" s="0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25.54"/>
    <col collapsed="false" customWidth="true" hidden="false" outlineLevel="0" max="33" min="3" style="0" width="16.85"/>
  </cols>
  <sheetData>
    <row r="1" customFormat="false" ht="12.8" hidden="false" customHeight="false" outlineLevel="0" collapsed="false">
      <c r="A1" s="4" t="s">
        <v>47</v>
      </c>
      <c r="B1" s="4" t="s">
        <v>48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  <c r="M1" s="4" t="s">
        <v>129</v>
      </c>
      <c r="N1" s="4" t="s">
        <v>130</v>
      </c>
      <c r="O1" s="4" t="s">
        <v>131</v>
      </c>
      <c r="P1" s="4" t="s">
        <v>132</v>
      </c>
      <c r="Q1" s="4" t="s">
        <v>133</v>
      </c>
      <c r="R1" s="4" t="s">
        <v>134</v>
      </c>
      <c r="S1" s="4" t="s">
        <v>135</v>
      </c>
      <c r="T1" s="4" t="s">
        <v>136</v>
      </c>
      <c r="U1" s="4" t="s">
        <v>137</v>
      </c>
      <c r="V1" s="4" t="s">
        <v>138</v>
      </c>
      <c r="W1" s="4" t="s">
        <v>139</v>
      </c>
      <c r="X1" s="4" t="s">
        <v>140</v>
      </c>
      <c r="Y1" s="4" t="s">
        <v>141</v>
      </c>
      <c r="Z1" s="4" t="s">
        <v>142</v>
      </c>
      <c r="AA1" s="4" t="s">
        <v>143</v>
      </c>
      <c r="AB1" s="4" t="s">
        <v>144</v>
      </c>
      <c r="AC1" s="4" t="s">
        <v>145</v>
      </c>
      <c r="AD1" s="4" t="s">
        <v>146</v>
      </c>
      <c r="AE1" s="4" t="s">
        <v>147</v>
      </c>
      <c r="AF1" s="4" t="s">
        <v>148</v>
      </c>
      <c r="AG1" s="4" t="s">
        <v>149</v>
      </c>
    </row>
    <row r="2" customFormat="false" ht="12.8" hidden="false" customHeight="false" outlineLevel="0" collapsed="false">
      <c r="A2" s="0" t="n">
        <v>1</v>
      </c>
      <c r="B2" s="0" t="s">
        <v>58</v>
      </c>
      <c r="C2" s="7" t="n">
        <v>1</v>
      </c>
      <c r="D2" s="7" t="n">
        <v>0</v>
      </c>
      <c r="E2" s="7" t="n">
        <v>1</v>
      </c>
      <c r="F2" s="7" t="n">
        <v>1</v>
      </c>
      <c r="G2" s="7" t="n">
        <v>0</v>
      </c>
      <c r="H2" s="7" t="n">
        <v>0</v>
      </c>
      <c r="I2" s="7" t="n">
        <v>0</v>
      </c>
      <c r="J2" s="8" t="n">
        <f aca="false">SUMPRODUCT(('Gear Loadout'!A$2:A$91=A2)*'Gear Loadout'!F$2:F$91*'Gear Loadout'!E$2:E$91)</f>
        <v>0</v>
      </c>
      <c r="K2" s="8" t="n">
        <f aca="false">SUMPRODUCT(('Gear Loadout'!A$2:A$91=A2)*'Gear Loadout'!G$2:G$91*'Gear Loadout'!E$2:E$91)</f>
        <v>0</v>
      </c>
      <c r="L2" s="8" t="n">
        <f aca="false">SUMPRODUCT(('Gear Loadout'!A$2:A$91=A2)*'Gear Loadout'!H$2:H$91*'Gear Loadout'!E$2:E$91)</f>
        <v>0</v>
      </c>
      <c r="M2" s="8" t="n">
        <f aca="false">SUMPRODUCT(('Gear Loadout'!A$2:A$91=A2)*'Gear Loadout'!I$2:I$91*'Gear Loadout'!E$2:E$91)</f>
        <v>0</v>
      </c>
      <c r="N2" s="8" t="n">
        <f aca="false">SUMPRODUCT(('Gear Loadout'!A$2:A$91=A2)*'Gear Loadout'!J$2:J$91*'Gear Loadout'!E$2:E$91)</f>
        <v>0</v>
      </c>
      <c r="O2" s="8" t="n">
        <f aca="false">SUMIFS('Talent Loadout'!G$2:G$241,'Talent Loadout'!A$2:A$241,A2,'Talent Loadout'!D$2:D$241,"StatStrength")</f>
        <v>0</v>
      </c>
      <c r="P2" s="8" t="n">
        <f aca="false">SUMIFS('Talent Loadout'!G$2:G$241,'Talent Loadout'!A$2:A$241,A2,'Talent Loadout'!D$2:D$241,"StatAgility")</f>
        <v>0</v>
      </c>
      <c r="Q2" s="8" t="n">
        <f aca="false">SUMIFS('Talent Loadout'!G$2:G$241,'Talent Loadout'!A$2:A$241,A2,'Talent Loadout'!D$2:D$241,"StatEndurance")</f>
        <v>0</v>
      </c>
      <c r="R2" s="8" t="n">
        <f aca="false">SUMIFS('Talent Loadout'!G$2:G$241,'Talent Loadout'!A$2:A$241,A2,'Talent Loadout'!D$2:D$241,"StatFlexibility")</f>
        <v>0</v>
      </c>
      <c r="S2" s="8" t="n">
        <f aca="false">SUMIFS('Talent Loadout'!G$2:G$241,'Talent Loadout'!A$2:A$241,A2,'Talent Loadout'!D$2:D$241,"StatStamina")</f>
        <v>0</v>
      </c>
      <c r="T2" s="8" t="n">
        <f aca="false">SUMIFS('Talent Loadout'!G$2:G$241,'Talent Loadout'!A$2:A$241,A2,'Talent Loadout'!D$2:D$241,"BossDamagePct")</f>
        <v>0</v>
      </c>
      <c r="U2" s="8" t="n">
        <f aca="false">SUMIFS('Talent Loadout'!G$2:G$241,'Talent Loadout'!A$2:A$241,A2,'Talent Loadout'!D$2:D$241,"BossActiveDamagePct")</f>
        <v>0</v>
      </c>
      <c r="V2" s="8" t="n">
        <f aca="false">D2+J2+O2</f>
        <v>0</v>
      </c>
      <c r="W2" s="8" t="n">
        <f aca="false">E2+K2+P2</f>
        <v>1</v>
      </c>
      <c r="X2" s="8" t="n">
        <f aca="false">F2+L2+Q2</f>
        <v>1</v>
      </c>
      <c r="Y2" s="8" t="n">
        <f aca="false">G2+M2+R2</f>
        <v>0</v>
      </c>
      <c r="Z2" s="8" t="n">
        <f aca="false">H2+N2+S2</f>
        <v>0</v>
      </c>
      <c r="AA2" s="8" t="n">
        <f aca="false">ROUND((10+2*V2+W2)*(1+T2/100),0)</f>
        <v>11</v>
      </c>
      <c r="AB2" s="8" t="n">
        <f aca="false">ROUND(5+W2+1.5*Y2,0)</f>
        <v>6</v>
      </c>
      <c r="AC2" s="8" t="n">
        <f aca="false">ROUND(50+8*Z2+4*X2,0)</f>
        <v>54</v>
      </c>
      <c r="AD2" s="8" t="n">
        <f aca="false">ROUND(100+20*C2+3*AA2+3*AB2+0.6*AC2+40*I2,0)</f>
        <v>203</v>
      </c>
      <c r="AE2" s="6" t="n">
        <f aca="false">MIN(4,MAX(1,1+MAX(0,AD2-195)*0.0005))</f>
        <v>1.004</v>
      </c>
      <c r="AF2" s="8" t="n">
        <f aca="false">'Activity Scenarios'!G2</f>
        <v>286</v>
      </c>
      <c r="AG2" s="8" t="n">
        <f aca="false">ROUND(ROUND(AF2*AE2,0)*(1+U2/100),0)</f>
        <v>287</v>
      </c>
    </row>
    <row r="3" customFormat="false" ht="12.8" hidden="false" customHeight="false" outlineLevel="0" collapsed="false">
      <c r="A3" s="0" t="n">
        <v>2</v>
      </c>
      <c r="B3" s="0" t="s">
        <v>65</v>
      </c>
      <c r="C3" s="7" t="n">
        <v>8</v>
      </c>
      <c r="D3" s="7" t="n">
        <v>4</v>
      </c>
      <c r="E3" s="7" t="n">
        <v>5</v>
      </c>
      <c r="F3" s="7" t="n">
        <v>6</v>
      </c>
      <c r="G3" s="7" t="n">
        <v>2</v>
      </c>
      <c r="H3" s="7" t="n">
        <v>4</v>
      </c>
      <c r="I3" s="7" t="n">
        <v>1</v>
      </c>
      <c r="J3" s="8" t="n">
        <f aca="false">SUMPRODUCT(('Gear Loadout'!A$2:A$91=A3)*'Gear Loadout'!F$2:F$91*'Gear Loadout'!E$2:E$91)</f>
        <v>0</v>
      </c>
      <c r="K3" s="8" t="n">
        <f aca="false">SUMPRODUCT(('Gear Loadout'!A$2:A$91=A3)*'Gear Loadout'!G$2:G$91*'Gear Loadout'!E$2:E$91)</f>
        <v>0</v>
      </c>
      <c r="L3" s="8" t="n">
        <f aca="false">SUMPRODUCT(('Gear Loadout'!A$2:A$91=A3)*'Gear Loadout'!H$2:H$91*'Gear Loadout'!E$2:E$91)</f>
        <v>0</v>
      </c>
      <c r="M3" s="8" t="n">
        <f aca="false">SUMPRODUCT(('Gear Loadout'!A$2:A$91=A3)*'Gear Loadout'!I$2:I$91*'Gear Loadout'!E$2:E$91)</f>
        <v>0</v>
      </c>
      <c r="N3" s="8" t="n">
        <f aca="false">SUMPRODUCT(('Gear Loadout'!A$2:A$91=A3)*'Gear Loadout'!J$2:J$91*'Gear Loadout'!E$2:E$91)</f>
        <v>0</v>
      </c>
      <c r="O3" s="8" t="n">
        <f aca="false">SUMIFS('Talent Loadout'!G$2:G$241,'Talent Loadout'!A$2:A$241,A3,'Talent Loadout'!D$2:D$241,"StatStrength")</f>
        <v>0</v>
      </c>
      <c r="P3" s="8" t="n">
        <f aca="false">SUMIFS('Talent Loadout'!G$2:G$241,'Talent Loadout'!A$2:A$241,A3,'Talent Loadout'!D$2:D$241,"StatAgility")</f>
        <v>0</v>
      </c>
      <c r="Q3" s="8" t="n">
        <f aca="false">SUMIFS('Talent Loadout'!G$2:G$241,'Talent Loadout'!A$2:A$241,A3,'Talent Loadout'!D$2:D$241,"StatEndurance")</f>
        <v>0</v>
      </c>
      <c r="R3" s="8" t="n">
        <f aca="false">SUMIFS('Talent Loadout'!G$2:G$241,'Talent Loadout'!A$2:A$241,A3,'Talent Loadout'!D$2:D$241,"StatFlexibility")</f>
        <v>0</v>
      </c>
      <c r="S3" s="8" t="n">
        <f aca="false">SUMIFS('Talent Loadout'!G$2:G$241,'Talent Loadout'!A$2:A$241,A3,'Talent Loadout'!D$2:D$241,"StatStamina")</f>
        <v>0</v>
      </c>
      <c r="T3" s="8" t="n">
        <f aca="false">SUMIFS('Talent Loadout'!G$2:G$241,'Talent Loadout'!A$2:A$241,A3,'Talent Loadout'!D$2:D$241,"BossDamagePct")</f>
        <v>0</v>
      </c>
      <c r="U3" s="8" t="n">
        <f aca="false">SUMIFS('Talent Loadout'!G$2:G$241,'Talent Loadout'!A$2:A$241,A3,'Talent Loadout'!D$2:D$241,"BossActiveDamagePct")</f>
        <v>0</v>
      </c>
      <c r="V3" s="8" t="n">
        <f aca="false">D3+J3+O3</f>
        <v>4</v>
      </c>
      <c r="W3" s="8" t="n">
        <f aca="false">E3+K3+P3</f>
        <v>5</v>
      </c>
      <c r="X3" s="8" t="n">
        <f aca="false">F3+L3+Q3</f>
        <v>6</v>
      </c>
      <c r="Y3" s="8" t="n">
        <f aca="false">G3+M3+R3</f>
        <v>2</v>
      </c>
      <c r="Z3" s="8" t="n">
        <f aca="false">H3+N3+S3</f>
        <v>4</v>
      </c>
      <c r="AA3" s="8" t="n">
        <f aca="false">ROUND((10+2*V3+W3)*(1+T3/100),0)</f>
        <v>23</v>
      </c>
      <c r="AB3" s="8" t="n">
        <f aca="false">ROUND(5+W3+1.5*Y3,0)</f>
        <v>13</v>
      </c>
      <c r="AC3" s="8" t="n">
        <f aca="false">ROUND(50+8*Z3+4*X3,0)</f>
        <v>106</v>
      </c>
      <c r="AD3" s="8" t="n">
        <f aca="false">ROUND(100+20*C3+3*AA3+3*AB3+0.6*AC3+40*I3,0)</f>
        <v>472</v>
      </c>
      <c r="AE3" s="6" t="n">
        <f aca="false">MIN(4,MAX(1,1+MAX(0,AD3-195)*0.0005))</f>
        <v>1.1385</v>
      </c>
      <c r="AF3" s="8" t="n">
        <f aca="false">'Activity Scenarios'!G2</f>
        <v>286</v>
      </c>
      <c r="AG3" s="8" t="n">
        <f aca="false">ROUND(ROUND(AF3*AE3,0)*(1+U3/100),0)</f>
        <v>326</v>
      </c>
    </row>
    <row r="4" customFormat="false" ht="12.8" hidden="false" customHeight="false" outlineLevel="0" collapsed="false">
      <c r="A4" s="0" t="n">
        <v>3</v>
      </c>
      <c r="B4" s="0" t="s">
        <v>66</v>
      </c>
      <c r="C4" s="7" t="n">
        <v>15</v>
      </c>
      <c r="D4" s="7" t="n">
        <v>8</v>
      </c>
      <c r="E4" s="7" t="n">
        <v>9</v>
      </c>
      <c r="F4" s="7" t="n">
        <v>10</v>
      </c>
      <c r="G4" s="7" t="n">
        <v>4</v>
      </c>
      <c r="H4" s="7" t="n">
        <v>8</v>
      </c>
      <c r="I4" s="7" t="n">
        <v>2</v>
      </c>
      <c r="J4" s="8" t="n">
        <f aca="false">SUMPRODUCT(('Gear Loadout'!A$2:A$91=A4)*'Gear Loadout'!F$2:F$91*'Gear Loadout'!E$2:E$91)</f>
        <v>0</v>
      </c>
      <c r="K4" s="8" t="n">
        <f aca="false">SUMPRODUCT(('Gear Loadout'!A$2:A$91=A4)*'Gear Loadout'!G$2:G$91*'Gear Loadout'!E$2:E$91)</f>
        <v>0</v>
      </c>
      <c r="L4" s="8" t="n">
        <f aca="false">SUMPRODUCT(('Gear Loadout'!A$2:A$91=A4)*'Gear Loadout'!H$2:H$91*'Gear Loadout'!E$2:E$91)</f>
        <v>0</v>
      </c>
      <c r="M4" s="8" t="n">
        <f aca="false">SUMPRODUCT(('Gear Loadout'!A$2:A$91=A4)*'Gear Loadout'!I$2:I$91*'Gear Loadout'!E$2:E$91)</f>
        <v>0</v>
      </c>
      <c r="N4" s="8" t="n">
        <f aca="false">SUMPRODUCT(('Gear Loadout'!A$2:A$91=A4)*'Gear Loadout'!J$2:J$91*'Gear Loadout'!E$2:E$91)</f>
        <v>0</v>
      </c>
      <c r="O4" s="8" t="n">
        <f aca="false">SUMIFS('Talent Loadout'!G$2:G$241,'Talent Loadout'!A$2:A$241,A4,'Talent Loadout'!D$2:D$241,"StatStrength")</f>
        <v>0</v>
      </c>
      <c r="P4" s="8" t="n">
        <f aca="false">SUMIFS('Talent Loadout'!G$2:G$241,'Talent Loadout'!A$2:A$241,A4,'Talent Loadout'!D$2:D$241,"StatAgility")</f>
        <v>0</v>
      </c>
      <c r="Q4" s="8" t="n">
        <f aca="false">SUMIFS('Talent Loadout'!G$2:G$241,'Talent Loadout'!A$2:A$241,A4,'Talent Loadout'!D$2:D$241,"StatEndurance")</f>
        <v>0</v>
      </c>
      <c r="R4" s="8" t="n">
        <f aca="false">SUMIFS('Talent Loadout'!G$2:G$241,'Talent Loadout'!A$2:A$241,A4,'Talent Loadout'!D$2:D$241,"StatFlexibility")</f>
        <v>0</v>
      </c>
      <c r="S4" s="8" t="n">
        <f aca="false">SUMIFS('Talent Loadout'!G$2:G$241,'Talent Loadout'!A$2:A$241,A4,'Talent Loadout'!D$2:D$241,"StatStamina")</f>
        <v>0</v>
      </c>
      <c r="T4" s="8" t="n">
        <f aca="false">SUMIFS('Talent Loadout'!G$2:G$241,'Talent Loadout'!A$2:A$241,A4,'Talent Loadout'!D$2:D$241,"BossDamagePct")</f>
        <v>0</v>
      </c>
      <c r="U4" s="8" t="n">
        <f aca="false">SUMIFS('Talent Loadout'!G$2:G$241,'Talent Loadout'!A$2:A$241,A4,'Talent Loadout'!D$2:D$241,"BossActiveDamagePct")</f>
        <v>0</v>
      </c>
      <c r="V4" s="8" t="n">
        <f aca="false">D4+J4+O4</f>
        <v>8</v>
      </c>
      <c r="W4" s="8" t="n">
        <f aca="false">E4+K4+P4</f>
        <v>9</v>
      </c>
      <c r="X4" s="8" t="n">
        <f aca="false">F4+L4+Q4</f>
        <v>10</v>
      </c>
      <c r="Y4" s="8" t="n">
        <f aca="false">G4+M4+R4</f>
        <v>4</v>
      </c>
      <c r="Z4" s="8" t="n">
        <f aca="false">H4+N4+S4</f>
        <v>8</v>
      </c>
      <c r="AA4" s="8" t="n">
        <f aca="false">ROUND((10+2*V4+W4)*(1+T4/100),0)</f>
        <v>35</v>
      </c>
      <c r="AB4" s="8" t="n">
        <f aca="false">ROUND(5+W4+1.5*Y4,0)</f>
        <v>20</v>
      </c>
      <c r="AC4" s="8" t="n">
        <f aca="false">ROUND(50+8*Z4+4*X4,0)</f>
        <v>154</v>
      </c>
      <c r="AD4" s="8" t="n">
        <f aca="false">ROUND(100+20*C4+3*AA4+3*AB4+0.6*AC4+40*I4,0)</f>
        <v>737</v>
      </c>
      <c r="AE4" s="6" t="n">
        <f aca="false">MIN(4,MAX(1,1+MAX(0,AD4-195)*0.0005))</f>
        <v>1.271</v>
      </c>
      <c r="AF4" s="8" t="n">
        <f aca="false">'Activity Scenarios'!G2</f>
        <v>286</v>
      </c>
      <c r="AG4" s="8" t="n">
        <f aca="false">ROUND(ROUND(AF4*AE4,0)*(1+U4/100),0)</f>
        <v>364</v>
      </c>
    </row>
    <row r="5" customFormat="false" ht="12.8" hidden="false" customHeight="false" outlineLevel="0" collapsed="false">
      <c r="A5" s="0" t="n">
        <v>4</v>
      </c>
      <c r="B5" s="0" t="s">
        <v>67</v>
      </c>
      <c r="C5" s="7" t="n">
        <v>25</v>
      </c>
      <c r="D5" s="7" t="n">
        <v>12</v>
      </c>
      <c r="E5" s="7" t="n">
        <v>15</v>
      </c>
      <c r="F5" s="7" t="n">
        <v>18</v>
      </c>
      <c r="G5" s="7" t="n">
        <v>8</v>
      </c>
      <c r="H5" s="7" t="n">
        <v>12</v>
      </c>
      <c r="I5" s="7" t="n">
        <v>3</v>
      </c>
      <c r="J5" s="8" t="n">
        <f aca="false">SUMPRODUCT(('Gear Loadout'!A$2:A$91=A5)*'Gear Loadout'!F$2:F$91*'Gear Loadout'!E$2:E$91)</f>
        <v>0</v>
      </c>
      <c r="K5" s="8" t="n">
        <f aca="false">SUMPRODUCT(('Gear Loadout'!A$2:A$91=A5)*'Gear Loadout'!G$2:G$91*'Gear Loadout'!E$2:E$91)</f>
        <v>0</v>
      </c>
      <c r="L5" s="8" t="n">
        <f aca="false">SUMPRODUCT(('Gear Loadout'!A$2:A$91=A5)*'Gear Loadout'!H$2:H$91*'Gear Loadout'!E$2:E$91)</f>
        <v>0</v>
      </c>
      <c r="M5" s="8" t="n">
        <f aca="false">SUMPRODUCT(('Gear Loadout'!A$2:A$91=A5)*'Gear Loadout'!I$2:I$91*'Gear Loadout'!E$2:E$91)</f>
        <v>0</v>
      </c>
      <c r="N5" s="8" t="n">
        <f aca="false">SUMPRODUCT(('Gear Loadout'!A$2:A$91=A5)*'Gear Loadout'!J$2:J$91*'Gear Loadout'!E$2:E$91)</f>
        <v>0</v>
      </c>
      <c r="O5" s="8" t="n">
        <f aca="false">SUMIFS('Talent Loadout'!G$2:G$241,'Talent Loadout'!A$2:A$241,A5,'Talent Loadout'!D$2:D$241,"StatStrength")</f>
        <v>0</v>
      </c>
      <c r="P5" s="8" t="n">
        <f aca="false">SUMIFS('Talent Loadout'!G$2:G$241,'Talent Loadout'!A$2:A$241,A5,'Talent Loadout'!D$2:D$241,"StatAgility")</f>
        <v>0</v>
      </c>
      <c r="Q5" s="8" t="n">
        <f aca="false">SUMIFS('Talent Loadout'!G$2:G$241,'Talent Loadout'!A$2:A$241,A5,'Talent Loadout'!D$2:D$241,"StatEndurance")</f>
        <v>0</v>
      </c>
      <c r="R5" s="8" t="n">
        <f aca="false">SUMIFS('Talent Loadout'!G$2:G$241,'Talent Loadout'!A$2:A$241,A5,'Talent Loadout'!D$2:D$241,"StatFlexibility")</f>
        <v>0</v>
      </c>
      <c r="S5" s="8" t="n">
        <f aca="false">SUMIFS('Talent Loadout'!G$2:G$241,'Talent Loadout'!A$2:A$241,A5,'Talent Loadout'!D$2:D$241,"StatStamina")</f>
        <v>0</v>
      </c>
      <c r="T5" s="8" t="n">
        <f aca="false">SUMIFS('Talent Loadout'!G$2:G$241,'Talent Loadout'!A$2:A$241,A5,'Talent Loadout'!D$2:D$241,"BossDamagePct")</f>
        <v>0</v>
      </c>
      <c r="U5" s="8" t="n">
        <f aca="false">SUMIFS('Talent Loadout'!G$2:G$241,'Talent Loadout'!A$2:A$241,A5,'Talent Loadout'!D$2:D$241,"BossActiveDamagePct")</f>
        <v>0</v>
      </c>
      <c r="V5" s="8" t="n">
        <f aca="false">D5+J5+O5</f>
        <v>12</v>
      </c>
      <c r="W5" s="8" t="n">
        <f aca="false">E5+K5+P5</f>
        <v>15</v>
      </c>
      <c r="X5" s="8" t="n">
        <f aca="false">F5+L5+Q5</f>
        <v>18</v>
      </c>
      <c r="Y5" s="8" t="n">
        <f aca="false">G5+M5+R5</f>
        <v>8</v>
      </c>
      <c r="Z5" s="8" t="n">
        <f aca="false">H5+N5+S5</f>
        <v>12</v>
      </c>
      <c r="AA5" s="8" t="n">
        <f aca="false">ROUND((10+2*V5+W5)*(1+T5/100),0)</f>
        <v>49</v>
      </c>
      <c r="AB5" s="8" t="n">
        <f aca="false">ROUND(5+W5+1.5*Y5,0)</f>
        <v>32</v>
      </c>
      <c r="AC5" s="8" t="n">
        <f aca="false">ROUND(50+8*Z5+4*X5,0)</f>
        <v>218</v>
      </c>
      <c r="AD5" s="8" t="n">
        <f aca="false">ROUND(100+20*C5+3*AA5+3*AB5+0.6*AC5+40*I5,0)</f>
        <v>1094</v>
      </c>
      <c r="AE5" s="6" t="n">
        <f aca="false">MIN(4,MAX(1,1+MAX(0,AD5-195)*0.0005))</f>
        <v>1.4495</v>
      </c>
      <c r="AF5" s="8" t="n">
        <f aca="false">'Activity Scenarios'!G2</f>
        <v>286</v>
      </c>
      <c r="AG5" s="8" t="n">
        <f aca="false">ROUND(ROUND(AF5*AE5,0)*(1+U5/100),0)</f>
        <v>415</v>
      </c>
    </row>
    <row r="6" customFormat="false" ht="12.8" hidden="false" customHeight="false" outlineLevel="0" collapsed="false">
      <c r="A6" s="0" t="n">
        <v>5</v>
      </c>
      <c r="B6" s="0" t="s">
        <v>68</v>
      </c>
      <c r="C6" s="7" t="n">
        <v>32</v>
      </c>
      <c r="D6" s="7" t="n">
        <v>16</v>
      </c>
      <c r="E6" s="7" t="n">
        <v>19</v>
      </c>
      <c r="F6" s="7" t="n">
        <v>22</v>
      </c>
      <c r="G6" s="7" t="n">
        <v>10</v>
      </c>
      <c r="H6" s="7" t="n">
        <v>16</v>
      </c>
      <c r="I6" s="7" t="n">
        <v>4</v>
      </c>
      <c r="J6" s="8" t="n">
        <f aca="false">SUMPRODUCT(('Gear Loadout'!A$2:A$91=A6)*'Gear Loadout'!F$2:F$91*'Gear Loadout'!E$2:E$91)</f>
        <v>0</v>
      </c>
      <c r="K6" s="8" t="n">
        <f aca="false">SUMPRODUCT(('Gear Loadout'!A$2:A$91=A6)*'Gear Loadout'!G$2:G$91*'Gear Loadout'!E$2:E$91)</f>
        <v>0</v>
      </c>
      <c r="L6" s="8" t="n">
        <f aca="false">SUMPRODUCT(('Gear Loadout'!A$2:A$91=A6)*'Gear Loadout'!H$2:H$91*'Gear Loadout'!E$2:E$91)</f>
        <v>0</v>
      </c>
      <c r="M6" s="8" t="n">
        <f aca="false">SUMPRODUCT(('Gear Loadout'!A$2:A$91=A6)*'Gear Loadout'!I$2:I$91*'Gear Loadout'!E$2:E$91)</f>
        <v>0</v>
      </c>
      <c r="N6" s="8" t="n">
        <f aca="false">SUMPRODUCT(('Gear Loadout'!A$2:A$91=A6)*'Gear Loadout'!J$2:J$91*'Gear Loadout'!E$2:E$91)</f>
        <v>0</v>
      </c>
      <c r="O6" s="8" t="n">
        <f aca="false">SUMIFS('Talent Loadout'!G$2:G$241,'Talent Loadout'!A$2:A$241,A6,'Talent Loadout'!D$2:D$241,"StatStrength")</f>
        <v>0</v>
      </c>
      <c r="P6" s="8" t="n">
        <f aca="false">SUMIFS('Talent Loadout'!G$2:G$241,'Talent Loadout'!A$2:A$241,A6,'Talent Loadout'!D$2:D$241,"StatAgility")</f>
        <v>0</v>
      </c>
      <c r="Q6" s="8" t="n">
        <f aca="false">SUMIFS('Talent Loadout'!G$2:G$241,'Talent Loadout'!A$2:A$241,A6,'Talent Loadout'!D$2:D$241,"StatEndurance")</f>
        <v>0</v>
      </c>
      <c r="R6" s="8" t="n">
        <f aca="false">SUMIFS('Talent Loadout'!G$2:G$241,'Talent Loadout'!A$2:A$241,A6,'Talent Loadout'!D$2:D$241,"StatFlexibility")</f>
        <v>0</v>
      </c>
      <c r="S6" s="8" t="n">
        <f aca="false">SUMIFS('Talent Loadout'!G$2:G$241,'Talent Loadout'!A$2:A$241,A6,'Talent Loadout'!D$2:D$241,"StatStamina")</f>
        <v>0</v>
      </c>
      <c r="T6" s="8" t="n">
        <f aca="false">SUMIFS('Talent Loadout'!G$2:G$241,'Talent Loadout'!A$2:A$241,A6,'Talent Loadout'!D$2:D$241,"BossDamagePct")</f>
        <v>0</v>
      </c>
      <c r="U6" s="8" t="n">
        <f aca="false">SUMIFS('Talent Loadout'!G$2:G$241,'Talent Loadout'!A$2:A$241,A6,'Talent Loadout'!D$2:D$241,"BossActiveDamagePct")</f>
        <v>0</v>
      </c>
      <c r="V6" s="8" t="n">
        <f aca="false">D6+J6+O6</f>
        <v>16</v>
      </c>
      <c r="W6" s="8" t="n">
        <f aca="false">E6+K6+P6</f>
        <v>19</v>
      </c>
      <c r="X6" s="8" t="n">
        <f aca="false">F6+L6+Q6</f>
        <v>22</v>
      </c>
      <c r="Y6" s="8" t="n">
        <f aca="false">G6+M6+R6</f>
        <v>10</v>
      </c>
      <c r="Z6" s="8" t="n">
        <f aca="false">H6+N6+S6</f>
        <v>16</v>
      </c>
      <c r="AA6" s="8" t="n">
        <f aca="false">ROUND((10+2*V6+W6)*(1+T6/100),0)</f>
        <v>61</v>
      </c>
      <c r="AB6" s="8" t="n">
        <f aca="false">ROUND(5+W6+1.5*Y6,0)</f>
        <v>39</v>
      </c>
      <c r="AC6" s="8" t="n">
        <f aca="false">ROUND(50+8*Z6+4*X6,0)</f>
        <v>266</v>
      </c>
      <c r="AD6" s="8" t="n">
        <f aca="false">ROUND(100+20*C6+3*AA6+3*AB6+0.6*AC6+40*I6,0)</f>
        <v>1360</v>
      </c>
      <c r="AE6" s="6" t="n">
        <f aca="false">MIN(4,MAX(1,1+MAX(0,AD6-195)*0.0005))</f>
        <v>1.5825</v>
      </c>
      <c r="AF6" s="8" t="n">
        <f aca="false">'Activity Scenarios'!G2</f>
        <v>286</v>
      </c>
      <c r="AG6" s="8" t="n">
        <f aca="false">ROUND(ROUND(AF6*AE6,0)*(1+U6/100),0)</f>
        <v>453</v>
      </c>
    </row>
    <row r="7" customFormat="false" ht="12.8" hidden="false" customHeight="false" outlineLevel="0" collapsed="false">
      <c r="A7" s="0" t="n">
        <v>6</v>
      </c>
      <c r="B7" s="0" t="s">
        <v>69</v>
      </c>
      <c r="C7" s="7" t="n">
        <v>38</v>
      </c>
      <c r="D7" s="7" t="n">
        <v>19</v>
      </c>
      <c r="E7" s="7" t="n">
        <v>23</v>
      </c>
      <c r="F7" s="7" t="n">
        <v>27</v>
      </c>
      <c r="G7" s="7" t="n">
        <v>11</v>
      </c>
      <c r="H7" s="7" t="n">
        <v>19</v>
      </c>
      <c r="I7" s="7" t="n">
        <v>5</v>
      </c>
      <c r="J7" s="8" t="n">
        <f aca="false">SUMPRODUCT(('Gear Loadout'!A$2:A$91=A7)*'Gear Loadout'!F$2:F$91*'Gear Loadout'!E$2:E$91)</f>
        <v>0</v>
      </c>
      <c r="K7" s="8" t="n">
        <f aca="false">SUMPRODUCT(('Gear Loadout'!A$2:A$91=A7)*'Gear Loadout'!G$2:G$91*'Gear Loadout'!E$2:E$91)</f>
        <v>0</v>
      </c>
      <c r="L7" s="8" t="n">
        <f aca="false">SUMPRODUCT(('Gear Loadout'!A$2:A$91=A7)*'Gear Loadout'!H$2:H$91*'Gear Loadout'!E$2:E$91)</f>
        <v>0</v>
      </c>
      <c r="M7" s="8" t="n">
        <f aca="false">SUMPRODUCT(('Gear Loadout'!A$2:A$91=A7)*'Gear Loadout'!I$2:I$91*'Gear Loadout'!E$2:E$91)</f>
        <v>0</v>
      </c>
      <c r="N7" s="8" t="n">
        <f aca="false">SUMPRODUCT(('Gear Loadout'!A$2:A$91=A7)*'Gear Loadout'!J$2:J$91*'Gear Loadout'!E$2:E$91)</f>
        <v>0</v>
      </c>
      <c r="O7" s="8" t="n">
        <f aca="false">SUMIFS('Talent Loadout'!G$2:G$241,'Talent Loadout'!A$2:A$241,A7,'Talent Loadout'!D$2:D$241,"StatStrength")</f>
        <v>0</v>
      </c>
      <c r="P7" s="8" t="n">
        <f aca="false">SUMIFS('Talent Loadout'!G$2:G$241,'Talent Loadout'!A$2:A$241,A7,'Talent Loadout'!D$2:D$241,"StatAgility")</f>
        <v>0</v>
      </c>
      <c r="Q7" s="8" t="n">
        <f aca="false">SUMIFS('Talent Loadout'!G$2:G$241,'Talent Loadout'!A$2:A$241,A7,'Talent Loadout'!D$2:D$241,"StatEndurance")</f>
        <v>0</v>
      </c>
      <c r="R7" s="8" t="n">
        <f aca="false">SUMIFS('Talent Loadout'!G$2:G$241,'Talent Loadout'!A$2:A$241,A7,'Talent Loadout'!D$2:D$241,"StatFlexibility")</f>
        <v>0</v>
      </c>
      <c r="S7" s="8" t="n">
        <f aca="false">SUMIFS('Talent Loadout'!G$2:G$241,'Talent Loadout'!A$2:A$241,A7,'Talent Loadout'!D$2:D$241,"StatStamina")</f>
        <v>0</v>
      </c>
      <c r="T7" s="8" t="n">
        <f aca="false">SUMIFS('Talent Loadout'!G$2:G$241,'Talent Loadout'!A$2:A$241,A7,'Talent Loadout'!D$2:D$241,"BossDamagePct")</f>
        <v>0</v>
      </c>
      <c r="U7" s="8" t="n">
        <f aca="false">SUMIFS('Talent Loadout'!G$2:G$241,'Talent Loadout'!A$2:A$241,A7,'Talent Loadout'!D$2:D$241,"BossActiveDamagePct")</f>
        <v>0</v>
      </c>
      <c r="V7" s="8" t="n">
        <f aca="false">D7+J7+O7</f>
        <v>19</v>
      </c>
      <c r="W7" s="8" t="n">
        <f aca="false">E7+K7+P7</f>
        <v>23</v>
      </c>
      <c r="X7" s="8" t="n">
        <f aca="false">F7+L7+Q7</f>
        <v>27</v>
      </c>
      <c r="Y7" s="8" t="n">
        <f aca="false">G7+M7+R7</f>
        <v>11</v>
      </c>
      <c r="Z7" s="8" t="n">
        <f aca="false">H7+N7+S7</f>
        <v>19</v>
      </c>
      <c r="AA7" s="8" t="n">
        <f aca="false">ROUND((10+2*V7+W7)*(1+T7/100),0)</f>
        <v>71</v>
      </c>
      <c r="AB7" s="8" t="n">
        <f aca="false">ROUND(5+W7+1.5*Y7,0)</f>
        <v>45</v>
      </c>
      <c r="AC7" s="8" t="n">
        <f aca="false">ROUND(50+8*Z7+4*X7,0)</f>
        <v>310</v>
      </c>
      <c r="AD7" s="8" t="n">
        <f aca="false">ROUND(100+20*C7+3*AA7+3*AB7+0.6*AC7+40*I7,0)</f>
        <v>1594</v>
      </c>
      <c r="AE7" s="6" t="n">
        <f aca="false">MIN(4,MAX(1,1+MAX(0,AD7-195)*0.0005))</f>
        <v>1.6995</v>
      </c>
      <c r="AF7" s="8" t="n">
        <f aca="false">'Activity Scenarios'!G2</f>
        <v>286</v>
      </c>
      <c r="AG7" s="8" t="n">
        <f aca="false">ROUND(ROUND(AF7*AE7,0)*(1+U7/100),0)</f>
        <v>486</v>
      </c>
    </row>
    <row r="8" customFormat="false" ht="12.8" hidden="false" customHeight="false" outlineLevel="0" collapsed="false">
      <c r="A8" s="0" t="n">
        <v>7</v>
      </c>
      <c r="B8" s="0" t="s">
        <v>70</v>
      </c>
      <c r="C8" s="7" t="n">
        <v>44</v>
      </c>
      <c r="D8" s="7" t="n">
        <v>22</v>
      </c>
      <c r="E8" s="7" t="n">
        <v>26</v>
      </c>
      <c r="F8" s="7" t="n">
        <v>31</v>
      </c>
      <c r="G8" s="7" t="n">
        <v>13</v>
      </c>
      <c r="H8" s="7" t="n">
        <v>22</v>
      </c>
      <c r="I8" s="7" t="n">
        <v>6</v>
      </c>
      <c r="J8" s="8" t="n">
        <f aca="false">SUMPRODUCT(('Gear Loadout'!A$2:A$91=A8)*'Gear Loadout'!F$2:F$91*'Gear Loadout'!E$2:E$91)</f>
        <v>0</v>
      </c>
      <c r="K8" s="8" t="n">
        <f aca="false">SUMPRODUCT(('Gear Loadout'!A$2:A$91=A8)*'Gear Loadout'!G$2:G$91*'Gear Loadout'!E$2:E$91)</f>
        <v>0</v>
      </c>
      <c r="L8" s="8" t="n">
        <f aca="false">SUMPRODUCT(('Gear Loadout'!A$2:A$91=A8)*'Gear Loadout'!H$2:H$91*'Gear Loadout'!E$2:E$91)</f>
        <v>0</v>
      </c>
      <c r="M8" s="8" t="n">
        <f aca="false">SUMPRODUCT(('Gear Loadout'!A$2:A$91=A8)*'Gear Loadout'!I$2:I$91*'Gear Loadout'!E$2:E$91)</f>
        <v>0</v>
      </c>
      <c r="N8" s="8" t="n">
        <f aca="false">SUMPRODUCT(('Gear Loadout'!A$2:A$91=A8)*'Gear Loadout'!J$2:J$91*'Gear Loadout'!E$2:E$91)</f>
        <v>0</v>
      </c>
      <c r="O8" s="8" t="n">
        <f aca="false">SUMIFS('Talent Loadout'!G$2:G$241,'Talent Loadout'!A$2:A$241,A8,'Talent Loadout'!D$2:D$241,"StatStrength")</f>
        <v>0</v>
      </c>
      <c r="P8" s="8" t="n">
        <f aca="false">SUMIFS('Talent Loadout'!G$2:G$241,'Talent Loadout'!A$2:A$241,A8,'Talent Loadout'!D$2:D$241,"StatAgility")</f>
        <v>0</v>
      </c>
      <c r="Q8" s="8" t="n">
        <f aca="false">SUMIFS('Talent Loadout'!G$2:G$241,'Talent Loadout'!A$2:A$241,A8,'Talent Loadout'!D$2:D$241,"StatEndurance")</f>
        <v>0</v>
      </c>
      <c r="R8" s="8" t="n">
        <f aca="false">SUMIFS('Talent Loadout'!G$2:G$241,'Talent Loadout'!A$2:A$241,A8,'Talent Loadout'!D$2:D$241,"StatFlexibility")</f>
        <v>0</v>
      </c>
      <c r="S8" s="8" t="n">
        <f aca="false">SUMIFS('Talent Loadout'!G$2:G$241,'Talent Loadout'!A$2:A$241,A8,'Talent Loadout'!D$2:D$241,"StatStamina")</f>
        <v>0</v>
      </c>
      <c r="T8" s="8" t="n">
        <f aca="false">SUMIFS('Talent Loadout'!G$2:G$241,'Talent Loadout'!A$2:A$241,A8,'Talent Loadout'!D$2:D$241,"BossDamagePct")</f>
        <v>0</v>
      </c>
      <c r="U8" s="8" t="n">
        <f aca="false">SUMIFS('Talent Loadout'!G$2:G$241,'Talent Loadout'!A$2:A$241,A8,'Talent Loadout'!D$2:D$241,"BossActiveDamagePct")</f>
        <v>0</v>
      </c>
      <c r="V8" s="8" t="n">
        <f aca="false">D8+J8+O8</f>
        <v>22</v>
      </c>
      <c r="W8" s="8" t="n">
        <f aca="false">E8+K8+P8</f>
        <v>26</v>
      </c>
      <c r="X8" s="8" t="n">
        <f aca="false">F8+L8+Q8</f>
        <v>31</v>
      </c>
      <c r="Y8" s="8" t="n">
        <f aca="false">G8+M8+R8</f>
        <v>13</v>
      </c>
      <c r="Z8" s="8" t="n">
        <f aca="false">H8+N8+S8</f>
        <v>22</v>
      </c>
      <c r="AA8" s="8" t="n">
        <f aca="false">ROUND((10+2*V8+W8)*(1+T8/100),0)</f>
        <v>80</v>
      </c>
      <c r="AB8" s="8" t="n">
        <f aca="false">ROUND(5+W8+1.5*Y8,0)</f>
        <v>51</v>
      </c>
      <c r="AC8" s="8" t="n">
        <f aca="false">ROUND(50+8*Z8+4*X8,0)</f>
        <v>350</v>
      </c>
      <c r="AD8" s="8" t="n">
        <f aca="false">ROUND(100+20*C8+3*AA8+3*AB8+0.6*AC8+40*I8,0)</f>
        <v>1823</v>
      </c>
      <c r="AE8" s="6" t="n">
        <f aca="false">MIN(4,MAX(1,1+MAX(0,AD8-195)*0.0005))</f>
        <v>1.814</v>
      </c>
      <c r="AF8" s="8" t="n">
        <f aca="false">'Activity Scenarios'!G2</f>
        <v>286</v>
      </c>
      <c r="AG8" s="8" t="n">
        <f aca="false">ROUND(ROUND(AF8*AE8,0)*(1+U8/100),0)</f>
        <v>519</v>
      </c>
    </row>
    <row r="9" customFormat="false" ht="12.8" hidden="false" customHeight="false" outlineLevel="0" collapsed="false">
      <c r="A9" s="0" t="n">
        <v>8</v>
      </c>
      <c r="B9" s="0" t="s">
        <v>71</v>
      </c>
      <c r="C9" s="7" t="n">
        <v>50</v>
      </c>
      <c r="D9" s="7" t="n">
        <v>25</v>
      </c>
      <c r="E9" s="7" t="n">
        <v>30</v>
      </c>
      <c r="F9" s="7" t="n">
        <v>35</v>
      </c>
      <c r="G9" s="7" t="n">
        <v>15</v>
      </c>
      <c r="H9" s="7" t="n">
        <v>25</v>
      </c>
      <c r="I9" s="7" t="n">
        <v>7</v>
      </c>
      <c r="J9" s="8" t="n">
        <f aca="false">SUMPRODUCT(('Gear Loadout'!A$2:A$91=A9)*'Gear Loadout'!F$2:F$91*'Gear Loadout'!E$2:E$91)</f>
        <v>0</v>
      </c>
      <c r="K9" s="8" t="n">
        <f aca="false">SUMPRODUCT(('Gear Loadout'!A$2:A$91=A9)*'Gear Loadout'!G$2:G$91*'Gear Loadout'!E$2:E$91)</f>
        <v>0</v>
      </c>
      <c r="L9" s="8" t="n">
        <f aca="false">SUMPRODUCT(('Gear Loadout'!A$2:A$91=A9)*'Gear Loadout'!H$2:H$91*'Gear Loadout'!E$2:E$91)</f>
        <v>0</v>
      </c>
      <c r="M9" s="8" t="n">
        <f aca="false">SUMPRODUCT(('Gear Loadout'!A$2:A$91=A9)*'Gear Loadout'!I$2:I$91*'Gear Loadout'!E$2:E$91)</f>
        <v>0</v>
      </c>
      <c r="N9" s="8" t="n">
        <f aca="false">SUMPRODUCT(('Gear Loadout'!A$2:A$91=A9)*'Gear Loadout'!J$2:J$91*'Gear Loadout'!E$2:E$91)</f>
        <v>0</v>
      </c>
      <c r="O9" s="8" t="n">
        <f aca="false">SUMIFS('Talent Loadout'!G$2:G$241,'Talent Loadout'!A$2:A$241,A9,'Talent Loadout'!D$2:D$241,"StatStrength")</f>
        <v>0</v>
      </c>
      <c r="P9" s="8" t="n">
        <f aca="false">SUMIFS('Talent Loadout'!G$2:G$241,'Talent Loadout'!A$2:A$241,A9,'Talent Loadout'!D$2:D$241,"StatAgility")</f>
        <v>0</v>
      </c>
      <c r="Q9" s="8" t="n">
        <f aca="false">SUMIFS('Talent Loadout'!G$2:G$241,'Talent Loadout'!A$2:A$241,A9,'Talent Loadout'!D$2:D$241,"StatEndurance")</f>
        <v>0</v>
      </c>
      <c r="R9" s="8" t="n">
        <f aca="false">SUMIFS('Talent Loadout'!G$2:G$241,'Talent Loadout'!A$2:A$241,A9,'Talent Loadout'!D$2:D$241,"StatFlexibility")</f>
        <v>0</v>
      </c>
      <c r="S9" s="8" t="n">
        <f aca="false">SUMIFS('Talent Loadout'!G$2:G$241,'Talent Loadout'!A$2:A$241,A9,'Talent Loadout'!D$2:D$241,"StatStamina")</f>
        <v>0</v>
      </c>
      <c r="T9" s="8" t="n">
        <f aca="false">SUMIFS('Talent Loadout'!G$2:G$241,'Talent Loadout'!A$2:A$241,A9,'Talent Loadout'!D$2:D$241,"BossDamagePct")</f>
        <v>0</v>
      </c>
      <c r="U9" s="8" t="n">
        <f aca="false">SUMIFS('Talent Loadout'!G$2:G$241,'Talent Loadout'!A$2:A$241,A9,'Talent Loadout'!D$2:D$241,"BossActiveDamagePct")</f>
        <v>0</v>
      </c>
      <c r="V9" s="8" t="n">
        <f aca="false">D9+J9+O9</f>
        <v>25</v>
      </c>
      <c r="W9" s="8" t="n">
        <f aca="false">E9+K9+P9</f>
        <v>30</v>
      </c>
      <c r="X9" s="8" t="n">
        <f aca="false">F9+L9+Q9</f>
        <v>35</v>
      </c>
      <c r="Y9" s="8" t="n">
        <f aca="false">G9+M9+R9</f>
        <v>15</v>
      </c>
      <c r="Z9" s="8" t="n">
        <f aca="false">H9+N9+S9</f>
        <v>25</v>
      </c>
      <c r="AA9" s="8" t="n">
        <f aca="false">ROUND((10+2*V9+W9)*(1+T9/100),0)</f>
        <v>90</v>
      </c>
      <c r="AB9" s="8" t="n">
        <f aca="false">ROUND(5+W9+1.5*Y9,0)</f>
        <v>58</v>
      </c>
      <c r="AC9" s="8" t="n">
        <f aca="false">ROUND(50+8*Z9+4*X9,0)</f>
        <v>390</v>
      </c>
      <c r="AD9" s="8" t="n">
        <f aca="false">ROUND(100+20*C9+3*AA9+3*AB9+0.6*AC9+40*I9,0)</f>
        <v>2058</v>
      </c>
      <c r="AE9" s="6" t="n">
        <f aca="false">MIN(4,MAX(1,1+MAX(0,AD9-195)*0.0005))</f>
        <v>1.9315</v>
      </c>
      <c r="AF9" s="8" t="n">
        <f aca="false">'Activity Scenarios'!G2</f>
        <v>286</v>
      </c>
      <c r="AG9" s="8" t="n">
        <f aca="false">ROUND(ROUND(AF9*AE9,0)*(1+U9/100),0)</f>
        <v>552</v>
      </c>
    </row>
    <row r="10" customFormat="false" ht="12.8" hidden="false" customHeight="false" outlineLevel="0" collapsed="false">
      <c r="A10" s="0" t="n">
        <v>9</v>
      </c>
      <c r="B10" s="0" t="s">
        <v>72</v>
      </c>
      <c r="C10" s="7" t="n">
        <v>56</v>
      </c>
      <c r="D10" s="7" t="n">
        <v>28</v>
      </c>
      <c r="E10" s="7" t="n">
        <v>34</v>
      </c>
      <c r="F10" s="7" t="n">
        <v>39</v>
      </c>
      <c r="G10" s="7" t="n">
        <v>17</v>
      </c>
      <c r="H10" s="7" t="n">
        <v>28</v>
      </c>
      <c r="I10" s="7" t="n">
        <v>8</v>
      </c>
      <c r="J10" s="8" t="n">
        <f aca="false">SUMPRODUCT(('Gear Loadout'!A$2:A$91=A10)*'Gear Loadout'!F$2:F$91*'Gear Loadout'!E$2:E$91)</f>
        <v>0</v>
      </c>
      <c r="K10" s="8" t="n">
        <f aca="false">SUMPRODUCT(('Gear Loadout'!A$2:A$91=A10)*'Gear Loadout'!G$2:G$91*'Gear Loadout'!E$2:E$91)</f>
        <v>0</v>
      </c>
      <c r="L10" s="8" t="n">
        <f aca="false">SUMPRODUCT(('Gear Loadout'!A$2:A$91=A10)*'Gear Loadout'!H$2:H$91*'Gear Loadout'!E$2:E$91)</f>
        <v>0</v>
      </c>
      <c r="M10" s="8" t="n">
        <f aca="false">SUMPRODUCT(('Gear Loadout'!A$2:A$91=A10)*'Gear Loadout'!I$2:I$91*'Gear Loadout'!E$2:E$91)</f>
        <v>0</v>
      </c>
      <c r="N10" s="8" t="n">
        <f aca="false">SUMPRODUCT(('Gear Loadout'!A$2:A$91=A10)*'Gear Loadout'!J$2:J$91*'Gear Loadout'!E$2:E$91)</f>
        <v>0</v>
      </c>
      <c r="O10" s="8" t="n">
        <f aca="false">SUMIFS('Talent Loadout'!G$2:G$241,'Talent Loadout'!A$2:A$241,A10,'Talent Loadout'!D$2:D$241,"StatStrength")</f>
        <v>0</v>
      </c>
      <c r="P10" s="8" t="n">
        <f aca="false">SUMIFS('Talent Loadout'!G$2:G$241,'Talent Loadout'!A$2:A$241,A10,'Talent Loadout'!D$2:D$241,"StatAgility")</f>
        <v>0</v>
      </c>
      <c r="Q10" s="8" t="n">
        <f aca="false">SUMIFS('Talent Loadout'!G$2:G$241,'Talent Loadout'!A$2:A$241,A10,'Talent Loadout'!D$2:D$241,"StatEndurance")</f>
        <v>0</v>
      </c>
      <c r="R10" s="8" t="n">
        <f aca="false">SUMIFS('Talent Loadout'!G$2:G$241,'Talent Loadout'!A$2:A$241,A10,'Talent Loadout'!D$2:D$241,"StatFlexibility")</f>
        <v>0</v>
      </c>
      <c r="S10" s="8" t="n">
        <f aca="false">SUMIFS('Talent Loadout'!G$2:G$241,'Talent Loadout'!A$2:A$241,A10,'Talent Loadout'!D$2:D$241,"StatStamina")</f>
        <v>0</v>
      </c>
      <c r="T10" s="8" t="n">
        <f aca="false">SUMIFS('Talent Loadout'!G$2:G$241,'Talent Loadout'!A$2:A$241,A10,'Talent Loadout'!D$2:D$241,"BossDamagePct")</f>
        <v>0</v>
      </c>
      <c r="U10" s="8" t="n">
        <f aca="false">SUMIFS('Talent Loadout'!G$2:G$241,'Talent Loadout'!A$2:A$241,A10,'Talent Loadout'!D$2:D$241,"BossActiveDamagePct")</f>
        <v>0</v>
      </c>
      <c r="V10" s="8" t="n">
        <f aca="false">D10+J10+O10</f>
        <v>28</v>
      </c>
      <c r="W10" s="8" t="n">
        <f aca="false">E10+K10+P10</f>
        <v>34</v>
      </c>
      <c r="X10" s="8" t="n">
        <f aca="false">F10+L10+Q10</f>
        <v>39</v>
      </c>
      <c r="Y10" s="8" t="n">
        <f aca="false">G10+M10+R10</f>
        <v>17</v>
      </c>
      <c r="Z10" s="8" t="n">
        <f aca="false">H10+N10+S10</f>
        <v>28</v>
      </c>
      <c r="AA10" s="8" t="n">
        <f aca="false">ROUND((10+2*V10+W10)*(1+T10/100),0)</f>
        <v>100</v>
      </c>
      <c r="AB10" s="8" t="n">
        <f aca="false">ROUND(5+W10+1.5*Y10,0)</f>
        <v>65</v>
      </c>
      <c r="AC10" s="8" t="n">
        <f aca="false">ROUND(50+8*Z10+4*X10,0)</f>
        <v>430</v>
      </c>
      <c r="AD10" s="8" t="n">
        <f aca="false">ROUND(100+20*C10+3*AA10+3*AB10+0.6*AC10+40*I10,0)</f>
        <v>2293</v>
      </c>
      <c r="AE10" s="6" t="n">
        <f aca="false">MIN(4,MAX(1,1+MAX(0,AD10-195)*0.0005))</f>
        <v>2.049</v>
      </c>
      <c r="AF10" s="8" t="n">
        <f aca="false">'Activity Scenarios'!G2</f>
        <v>286</v>
      </c>
      <c r="AG10" s="8" t="n">
        <f aca="false">ROUND(ROUND(AF10*AE10,0)*(1+U10/100),0)</f>
        <v>586</v>
      </c>
    </row>
    <row r="11" customFormat="false" ht="12.8" hidden="false" customHeight="false" outlineLevel="0" collapsed="false">
      <c r="A11" s="0" t="n">
        <v>10</v>
      </c>
      <c r="B11" s="0" t="s">
        <v>73</v>
      </c>
      <c r="C11" s="7" t="n">
        <v>62</v>
      </c>
      <c r="D11" s="7" t="n">
        <v>31</v>
      </c>
      <c r="E11" s="7" t="n">
        <v>37</v>
      </c>
      <c r="F11" s="7" t="n">
        <v>43</v>
      </c>
      <c r="G11" s="7" t="n">
        <v>19</v>
      </c>
      <c r="H11" s="7" t="n">
        <v>31</v>
      </c>
      <c r="I11" s="7" t="n">
        <v>9</v>
      </c>
      <c r="J11" s="8" t="n">
        <f aca="false">SUMPRODUCT(('Gear Loadout'!A$2:A$91=A11)*'Gear Loadout'!F$2:F$91*'Gear Loadout'!E$2:E$91)</f>
        <v>0</v>
      </c>
      <c r="K11" s="8" t="n">
        <f aca="false">SUMPRODUCT(('Gear Loadout'!A$2:A$91=A11)*'Gear Loadout'!G$2:G$91*'Gear Loadout'!E$2:E$91)</f>
        <v>0</v>
      </c>
      <c r="L11" s="8" t="n">
        <f aca="false">SUMPRODUCT(('Gear Loadout'!A$2:A$91=A11)*'Gear Loadout'!H$2:H$91*'Gear Loadout'!E$2:E$91)</f>
        <v>0</v>
      </c>
      <c r="M11" s="8" t="n">
        <f aca="false">SUMPRODUCT(('Gear Loadout'!A$2:A$91=A11)*'Gear Loadout'!I$2:I$91*'Gear Loadout'!E$2:E$91)</f>
        <v>0</v>
      </c>
      <c r="N11" s="8" t="n">
        <f aca="false">SUMPRODUCT(('Gear Loadout'!A$2:A$91=A11)*'Gear Loadout'!J$2:J$91*'Gear Loadout'!E$2:E$91)</f>
        <v>0</v>
      </c>
      <c r="O11" s="8" t="n">
        <f aca="false">SUMIFS('Talent Loadout'!G$2:G$241,'Talent Loadout'!A$2:A$241,A11,'Talent Loadout'!D$2:D$241,"StatStrength")</f>
        <v>0</v>
      </c>
      <c r="P11" s="8" t="n">
        <f aca="false">SUMIFS('Talent Loadout'!G$2:G$241,'Talent Loadout'!A$2:A$241,A11,'Talent Loadout'!D$2:D$241,"StatAgility")</f>
        <v>0</v>
      </c>
      <c r="Q11" s="8" t="n">
        <f aca="false">SUMIFS('Talent Loadout'!G$2:G$241,'Talent Loadout'!A$2:A$241,A11,'Talent Loadout'!D$2:D$241,"StatEndurance")</f>
        <v>0</v>
      </c>
      <c r="R11" s="8" t="n">
        <f aca="false">SUMIFS('Talent Loadout'!G$2:G$241,'Talent Loadout'!A$2:A$241,A11,'Talent Loadout'!D$2:D$241,"StatFlexibility")</f>
        <v>0</v>
      </c>
      <c r="S11" s="8" t="n">
        <f aca="false">SUMIFS('Talent Loadout'!G$2:G$241,'Talent Loadout'!A$2:A$241,A11,'Talent Loadout'!D$2:D$241,"StatStamina")</f>
        <v>0</v>
      </c>
      <c r="T11" s="8" t="n">
        <f aca="false">SUMIFS('Talent Loadout'!G$2:G$241,'Talent Loadout'!A$2:A$241,A11,'Talent Loadout'!D$2:D$241,"BossDamagePct")</f>
        <v>0</v>
      </c>
      <c r="U11" s="8" t="n">
        <f aca="false">SUMIFS('Talent Loadout'!G$2:G$241,'Talent Loadout'!A$2:A$241,A11,'Talent Loadout'!D$2:D$241,"BossActiveDamagePct")</f>
        <v>0</v>
      </c>
      <c r="V11" s="8" t="n">
        <f aca="false">D11+J11+O11</f>
        <v>31</v>
      </c>
      <c r="W11" s="8" t="n">
        <f aca="false">E11+K11+P11</f>
        <v>37</v>
      </c>
      <c r="X11" s="8" t="n">
        <f aca="false">F11+L11+Q11</f>
        <v>43</v>
      </c>
      <c r="Y11" s="8" t="n">
        <f aca="false">G11+M11+R11</f>
        <v>19</v>
      </c>
      <c r="Z11" s="8" t="n">
        <f aca="false">H11+N11+S11</f>
        <v>31</v>
      </c>
      <c r="AA11" s="8" t="n">
        <f aca="false">ROUND((10+2*V11+W11)*(1+T11/100),0)</f>
        <v>109</v>
      </c>
      <c r="AB11" s="8" t="n">
        <f aca="false">ROUND(5+W11+1.5*Y11,0)</f>
        <v>71</v>
      </c>
      <c r="AC11" s="8" t="n">
        <f aca="false">ROUND(50+8*Z11+4*X11,0)</f>
        <v>470</v>
      </c>
      <c r="AD11" s="8" t="n">
        <f aca="false">ROUND(100+20*C11+3*AA11+3*AB11+0.6*AC11+40*I11,0)</f>
        <v>2522</v>
      </c>
      <c r="AE11" s="6" t="n">
        <f aca="false">MIN(4,MAX(1,1+MAX(0,AD11-195)*0.0005))</f>
        <v>2.1635</v>
      </c>
      <c r="AF11" s="8" t="n">
        <f aca="false">'Activity Scenarios'!G2</f>
        <v>286</v>
      </c>
      <c r="AG11" s="8" t="n">
        <f aca="false">ROUND(ROUND(AF11*AE11,0)*(1+U11/100),0)</f>
        <v>619</v>
      </c>
    </row>
    <row r="12" customFormat="false" ht="12.8" hidden="false" customHeight="false" outlineLevel="0" collapsed="false">
      <c r="A12" s="0" t="n">
        <v>11</v>
      </c>
      <c r="B12" s="0" t="s">
        <v>74</v>
      </c>
      <c r="C12" s="7" t="n">
        <v>68</v>
      </c>
      <c r="D12" s="7" t="n">
        <v>34</v>
      </c>
      <c r="E12" s="7" t="n">
        <v>41</v>
      </c>
      <c r="F12" s="7" t="n">
        <v>48</v>
      </c>
      <c r="G12" s="7" t="n">
        <v>20</v>
      </c>
      <c r="H12" s="7" t="n">
        <v>34</v>
      </c>
      <c r="I12" s="7" t="n">
        <v>10</v>
      </c>
      <c r="J12" s="8" t="n">
        <f aca="false">SUMPRODUCT(('Gear Loadout'!A$2:A$91=A12)*'Gear Loadout'!F$2:F$91*'Gear Loadout'!E$2:E$91)</f>
        <v>0</v>
      </c>
      <c r="K12" s="8" t="n">
        <f aca="false">SUMPRODUCT(('Gear Loadout'!A$2:A$91=A12)*'Gear Loadout'!G$2:G$91*'Gear Loadout'!E$2:E$91)</f>
        <v>0</v>
      </c>
      <c r="L12" s="8" t="n">
        <f aca="false">SUMPRODUCT(('Gear Loadout'!A$2:A$91=A12)*'Gear Loadout'!H$2:H$91*'Gear Loadout'!E$2:E$91)</f>
        <v>0</v>
      </c>
      <c r="M12" s="8" t="n">
        <f aca="false">SUMPRODUCT(('Gear Loadout'!A$2:A$91=A12)*'Gear Loadout'!I$2:I$91*'Gear Loadout'!E$2:E$91)</f>
        <v>0</v>
      </c>
      <c r="N12" s="8" t="n">
        <f aca="false">SUMPRODUCT(('Gear Loadout'!A$2:A$91=A12)*'Gear Loadout'!J$2:J$91*'Gear Loadout'!E$2:E$91)</f>
        <v>0</v>
      </c>
      <c r="O12" s="8" t="n">
        <f aca="false">SUMIFS('Talent Loadout'!G$2:G$241,'Talent Loadout'!A$2:A$241,A12,'Talent Loadout'!D$2:D$241,"StatStrength")</f>
        <v>0</v>
      </c>
      <c r="P12" s="8" t="n">
        <f aca="false">SUMIFS('Talent Loadout'!G$2:G$241,'Talent Loadout'!A$2:A$241,A12,'Talent Loadout'!D$2:D$241,"StatAgility")</f>
        <v>0</v>
      </c>
      <c r="Q12" s="8" t="n">
        <f aca="false">SUMIFS('Talent Loadout'!G$2:G$241,'Talent Loadout'!A$2:A$241,A12,'Talent Loadout'!D$2:D$241,"StatEndurance")</f>
        <v>0</v>
      </c>
      <c r="R12" s="8" t="n">
        <f aca="false">SUMIFS('Talent Loadout'!G$2:G$241,'Talent Loadout'!A$2:A$241,A12,'Talent Loadout'!D$2:D$241,"StatFlexibility")</f>
        <v>0</v>
      </c>
      <c r="S12" s="8" t="n">
        <f aca="false">SUMIFS('Talent Loadout'!G$2:G$241,'Talent Loadout'!A$2:A$241,A12,'Talent Loadout'!D$2:D$241,"StatStamina")</f>
        <v>0</v>
      </c>
      <c r="T12" s="8" t="n">
        <f aca="false">SUMIFS('Talent Loadout'!G$2:G$241,'Talent Loadout'!A$2:A$241,A12,'Talent Loadout'!D$2:D$241,"BossDamagePct")</f>
        <v>0</v>
      </c>
      <c r="U12" s="8" t="n">
        <f aca="false">SUMIFS('Talent Loadout'!G$2:G$241,'Talent Loadout'!A$2:A$241,A12,'Talent Loadout'!D$2:D$241,"BossActiveDamagePct")</f>
        <v>0</v>
      </c>
      <c r="V12" s="8" t="n">
        <f aca="false">D12+J12+O12</f>
        <v>34</v>
      </c>
      <c r="W12" s="8" t="n">
        <f aca="false">E12+K12+P12</f>
        <v>41</v>
      </c>
      <c r="X12" s="8" t="n">
        <f aca="false">F12+L12+Q12</f>
        <v>48</v>
      </c>
      <c r="Y12" s="8" t="n">
        <f aca="false">G12+M12+R12</f>
        <v>20</v>
      </c>
      <c r="Z12" s="8" t="n">
        <f aca="false">H12+N12+S12</f>
        <v>34</v>
      </c>
      <c r="AA12" s="8" t="n">
        <f aca="false">ROUND((10+2*V12+W12)*(1+T12/100),0)</f>
        <v>119</v>
      </c>
      <c r="AB12" s="8" t="n">
        <f aca="false">ROUND(5+W12+1.5*Y12,0)</f>
        <v>76</v>
      </c>
      <c r="AC12" s="8" t="n">
        <f aca="false">ROUND(50+8*Z12+4*X12,0)</f>
        <v>514</v>
      </c>
      <c r="AD12" s="8" t="n">
        <f aca="false">ROUND(100+20*C12+3*AA12+3*AB12+0.6*AC12+40*I12,0)</f>
        <v>2753</v>
      </c>
      <c r="AE12" s="6" t="n">
        <f aca="false">MIN(4,MAX(1,1+MAX(0,AD12-195)*0.0005))</f>
        <v>2.279</v>
      </c>
      <c r="AF12" s="8" t="n">
        <f aca="false">'Activity Scenarios'!G2</f>
        <v>286</v>
      </c>
      <c r="AG12" s="8" t="n">
        <f aca="false">ROUND(ROUND(AF12*AE12,0)*(1+U12/100),0)</f>
        <v>652</v>
      </c>
    </row>
    <row r="13" customFormat="false" ht="12.8" hidden="false" customHeight="false" outlineLevel="0" collapsed="false">
      <c r="A13" s="0" t="n">
        <v>12</v>
      </c>
      <c r="B13" s="0" t="s">
        <v>75</v>
      </c>
      <c r="C13" s="7" t="n">
        <v>72</v>
      </c>
      <c r="D13" s="7" t="n">
        <v>36</v>
      </c>
      <c r="E13" s="7" t="n">
        <v>43</v>
      </c>
      <c r="F13" s="7" t="n">
        <v>50</v>
      </c>
      <c r="G13" s="7" t="n">
        <v>22</v>
      </c>
      <c r="H13" s="7" t="n">
        <v>36</v>
      </c>
      <c r="I13" s="7" t="n">
        <v>11</v>
      </c>
      <c r="J13" s="8" t="n">
        <f aca="false">SUMPRODUCT(('Gear Loadout'!A$2:A$91=A13)*'Gear Loadout'!F$2:F$91*'Gear Loadout'!E$2:E$91)</f>
        <v>0</v>
      </c>
      <c r="K13" s="8" t="n">
        <f aca="false">SUMPRODUCT(('Gear Loadout'!A$2:A$91=A13)*'Gear Loadout'!G$2:G$91*'Gear Loadout'!E$2:E$91)</f>
        <v>0</v>
      </c>
      <c r="L13" s="8" t="n">
        <f aca="false">SUMPRODUCT(('Gear Loadout'!A$2:A$91=A13)*'Gear Loadout'!H$2:H$91*'Gear Loadout'!E$2:E$91)</f>
        <v>0</v>
      </c>
      <c r="M13" s="8" t="n">
        <f aca="false">SUMPRODUCT(('Gear Loadout'!A$2:A$91=A13)*'Gear Loadout'!I$2:I$91*'Gear Loadout'!E$2:E$91)</f>
        <v>0</v>
      </c>
      <c r="N13" s="8" t="n">
        <f aca="false">SUMPRODUCT(('Gear Loadout'!A$2:A$91=A13)*'Gear Loadout'!J$2:J$91*'Gear Loadout'!E$2:E$91)</f>
        <v>0</v>
      </c>
      <c r="O13" s="8" t="n">
        <f aca="false">SUMIFS('Talent Loadout'!G$2:G$241,'Talent Loadout'!A$2:A$241,A13,'Talent Loadout'!D$2:D$241,"StatStrength")</f>
        <v>0</v>
      </c>
      <c r="P13" s="8" t="n">
        <f aca="false">SUMIFS('Talent Loadout'!G$2:G$241,'Talent Loadout'!A$2:A$241,A13,'Talent Loadout'!D$2:D$241,"StatAgility")</f>
        <v>0</v>
      </c>
      <c r="Q13" s="8" t="n">
        <f aca="false">SUMIFS('Talent Loadout'!G$2:G$241,'Talent Loadout'!A$2:A$241,A13,'Talent Loadout'!D$2:D$241,"StatEndurance")</f>
        <v>0</v>
      </c>
      <c r="R13" s="8" t="n">
        <f aca="false">SUMIFS('Talent Loadout'!G$2:G$241,'Talent Loadout'!A$2:A$241,A13,'Talent Loadout'!D$2:D$241,"StatFlexibility")</f>
        <v>0</v>
      </c>
      <c r="S13" s="8" t="n">
        <f aca="false">SUMIFS('Talent Loadout'!G$2:G$241,'Talent Loadout'!A$2:A$241,A13,'Talent Loadout'!D$2:D$241,"StatStamina")</f>
        <v>0</v>
      </c>
      <c r="T13" s="8" t="n">
        <f aca="false">SUMIFS('Talent Loadout'!G$2:G$241,'Talent Loadout'!A$2:A$241,A13,'Talent Loadout'!D$2:D$241,"BossDamagePct")</f>
        <v>0</v>
      </c>
      <c r="U13" s="8" t="n">
        <f aca="false">SUMIFS('Talent Loadout'!G$2:G$241,'Talent Loadout'!A$2:A$241,A13,'Talent Loadout'!D$2:D$241,"BossActiveDamagePct")</f>
        <v>0</v>
      </c>
      <c r="V13" s="8" t="n">
        <f aca="false">D13+J13+O13</f>
        <v>36</v>
      </c>
      <c r="W13" s="8" t="n">
        <f aca="false">E13+K13+P13</f>
        <v>43</v>
      </c>
      <c r="X13" s="8" t="n">
        <f aca="false">F13+L13+Q13</f>
        <v>50</v>
      </c>
      <c r="Y13" s="8" t="n">
        <f aca="false">G13+M13+R13</f>
        <v>22</v>
      </c>
      <c r="Z13" s="8" t="n">
        <f aca="false">H13+N13+S13</f>
        <v>36</v>
      </c>
      <c r="AA13" s="8" t="n">
        <f aca="false">ROUND((10+2*V13+W13)*(1+T13/100),0)</f>
        <v>125</v>
      </c>
      <c r="AB13" s="8" t="n">
        <f aca="false">ROUND(5+W13+1.5*Y13,0)</f>
        <v>81</v>
      </c>
      <c r="AC13" s="8" t="n">
        <f aca="false">ROUND(50+8*Z13+4*X13,0)</f>
        <v>538</v>
      </c>
      <c r="AD13" s="8" t="n">
        <f aca="false">ROUND(100+20*C13+3*AA13+3*AB13+0.6*AC13+40*I13,0)</f>
        <v>2921</v>
      </c>
      <c r="AE13" s="6" t="n">
        <f aca="false">MIN(4,MAX(1,1+MAX(0,AD13-195)*0.0005))</f>
        <v>2.363</v>
      </c>
      <c r="AF13" s="8" t="n">
        <f aca="false">'Activity Scenarios'!G2</f>
        <v>286</v>
      </c>
      <c r="AG13" s="8" t="n">
        <f aca="false">ROUND(ROUND(AF13*AE13,0)*(1+U13/100),0)</f>
        <v>676</v>
      </c>
    </row>
    <row r="14" customFormat="false" ht="12.8" hidden="false" customHeight="false" outlineLevel="0" collapsed="false">
      <c r="A14" s="0" t="n">
        <v>13</v>
      </c>
      <c r="B14" s="0" t="s">
        <v>76</v>
      </c>
      <c r="C14" s="7" t="n">
        <v>76</v>
      </c>
      <c r="D14" s="7" t="n">
        <v>38</v>
      </c>
      <c r="E14" s="7" t="n">
        <v>46</v>
      </c>
      <c r="F14" s="7" t="n">
        <v>53</v>
      </c>
      <c r="G14" s="7" t="n">
        <v>23</v>
      </c>
      <c r="H14" s="7" t="n">
        <v>38</v>
      </c>
      <c r="I14" s="7" t="n">
        <v>12</v>
      </c>
      <c r="J14" s="8" t="n">
        <f aca="false">SUMPRODUCT(('Gear Loadout'!A$2:A$91=A14)*'Gear Loadout'!F$2:F$91*'Gear Loadout'!E$2:E$91)</f>
        <v>0</v>
      </c>
      <c r="K14" s="8" t="n">
        <f aca="false">SUMPRODUCT(('Gear Loadout'!A$2:A$91=A14)*'Gear Loadout'!G$2:G$91*'Gear Loadout'!E$2:E$91)</f>
        <v>0</v>
      </c>
      <c r="L14" s="8" t="n">
        <f aca="false">SUMPRODUCT(('Gear Loadout'!A$2:A$91=A14)*'Gear Loadout'!H$2:H$91*'Gear Loadout'!E$2:E$91)</f>
        <v>0</v>
      </c>
      <c r="M14" s="8" t="n">
        <f aca="false">SUMPRODUCT(('Gear Loadout'!A$2:A$91=A14)*'Gear Loadout'!I$2:I$91*'Gear Loadout'!E$2:E$91)</f>
        <v>0</v>
      </c>
      <c r="N14" s="8" t="n">
        <f aca="false">SUMPRODUCT(('Gear Loadout'!A$2:A$91=A14)*'Gear Loadout'!J$2:J$91*'Gear Loadout'!E$2:E$91)</f>
        <v>0</v>
      </c>
      <c r="O14" s="8" t="n">
        <f aca="false">SUMIFS('Talent Loadout'!G$2:G$241,'Talent Loadout'!A$2:A$241,A14,'Talent Loadout'!D$2:D$241,"StatStrength")</f>
        <v>0</v>
      </c>
      <c r="P14" s="8" t="n">
        <f aca="false">SUMIFS('Talent Loadout'!G$2:G$241,'Talent Loadout'!A$2:A$241,A14,'Talent Loadout'!D$2:D$241,"StatAgility")</f>
        <v>0</v>
      </c>
      <c r="Q14" s="8" t="n">
        <f aca="false">SUMIFS('Talent Loadout'!G$2:G$241,'Talent Loadout'!A$2:A$241,A14,'Talent Loadout'!D$2:D$241,"StatEndurance")</f>
        <v>0</v>
      </c>
      <c r="R14" s="8" t="n">
        <f aca="false">SUMIFS('Talent Loadout'!G$2:G$241,'Talent Loadout'!A$2:A$241,A14,'Talent Loadout'!D$2:D$241,"StatFlexibility")</f>
        <v>0</v>
      </c>
      <c r="S14" s="8" t="n">
        <f aca="false">SUMIFS('Talent Loadout'!G$2:G$241,'Talent Loadout'!A$2:A$241,A14,'Talent Loadout'!D$2:D$241,"StatStamina")</f>
        <v>0</v>
      </c>
      <c r="T14" s="8" t="n">
        <f aca="false">SUMIFS('Talent Loadout'!G$2:G$241,'Talent Loadout'!A$2:A$241,A14,'Talent Loadout'!D$2:D$241,"BossDamagePct")</f>
        <v>0</v>
      </c>
      <c r="U14" s="8" t="n">
        <f aca="false">SUMIFS('Talent Loadout'!G$2:G$241,'Talent Loadout'!A$2:A$241,A14,'Talent Loadout'!D$2:D$241,"BossActiveDamagePct")</f>
        <v>0</v>
      </c>
      <c r="V14" s="8" t="n">
        <f aca="false">D14+J14+O14</f>
        <v>38</v>
      </c>
      <c r="W14" s="8" t="n">
        <f aca="false">E14+K14+P14</f>
        <v>46</v>
      </c>
      <c r="X14" s="8" t="n">
        <f aca="false">F14+L14+Q14</f>
        <v>53</v>
      </c>
      <c r="Y14" s="8" t="n">
        <f aca="false">G14+M14+R14</f>
        <v>23</v>
      </c>
      <c r="Z14" s="8" t="n">
        <f aca="false">H14+N14+S14</f>
        <v>38</v>
      </c>
      <c r="AA14" s="8" t="n">
        <f aca="false">ROUND((10+2*V14+W14)*(1+T14/100),0)</f>
        <v>132</v>
      </c>
      <c r="AB14" s="8" t="n">
        <f aca="false">ROUND(5+W14+1.5*Y14,0)</f>
        <v>86</v>
      </c>
      <c r="AC14" s="8" t="n">
        <f aca="false">ROUND(50+8*Z14+4*X14,0)</f>
        <v>566</v>
      </c>
      <c r="AD14" s="8" t="n">
        <f aca="false">ROUND(100+20*C14+3*AA14+3*AB14+0.6*AC14+40*I14,0)</f>
        <v>3094</v>
      </c>
      <c r="AE14" s="6" t="n">
        <f aca="false">MIN(4,MAX(1,1+MAX(0,AD14-195)*0.0005))</f>
        <v>2.4495</v>
      </c>
      <c r="AF14" s="8" t="n">
        <f aca="false">'Activity Scenarios'!G2</f>
        <v>286</v>
      </c>
      <c r="AG14" s="8" t="n">
        <f aca="false">ROUND(ROUND(AF14*AE14,0)*(1+U14/100),0)</f>
        <v>701</v>
      </c>
    </row>
    <row r="15" customFormat="false" ht="12.8" hidden="false" customHeight="false" outlineLevel="0" collapsed="false">
      <c r="A15" s="0" t="n">
        <v>14</v>
      </c>
      <c r="B15" s="0" t="s">
        <v>77</v>
      </c>
      <c r="C15" s="7" t="n">
        <v>80</v>
      </c>
      <c r="D15" s="7" t="n">
        <v>40</v>
      </c>
      <c r="E15" s="7" t="n">
        <v>48</v>
      </c>
      <c r="F15" s="7" t="n">
        <v>56</v>
      </c>
      <c r="G15" s="7" t="n">
        <v>24</v>
      </c>
      <c r="H15" s="7" t="n">
        <v>40</v>
      </c>
      <c r="I15" s="7" t="n">
        <v>13</v>
      </c>
      <c r="J15" s="8" t="n">
        <f aca="false">SUMPRODUCT(('Gear Loadout'!A$2:A$91=A15)*'Gear Loadout'!F$2:F$91*'Gear Loadout'!E$2:E$91)</f>
        <v>0</v>
      </c>
      <c r="K15" s="8" t="n">
        <f aca="false">SUMPRODUCT(('Gear Loadout'!A$2:A$91=A15)*'Gear Loadout'!G$2:G$91*'Gear Loadout'!E$2:E$91)</f>
        <v>0</v>
      </c>
      <c r="L15" s="8" t="n">
        <f aca="false">SUMPRODUCT(('Gear Loadout'!A$2:A$91=A15)*'Gear Loadout'!H$2:H$91*'Gear Loadout'!E$2:E$91)</f>
        <v>0</v>
      </c>
      <c r="M15" s="8" t="n">
        <f aca="false">SUMPRODUCT(('Gear Loadout'!A$2:A$91=A15)*'Gear Loadout'!I$2:I$91*'Gear Loadout'!E$2:E$91)</f>
        <v>0</v>
      </c>
      <c r="N15" s="8" t="n">
        <f aca="false">SUMPRODUCT(('Gear Loadout'!A$2:A$91=A15)*'Gear Loadout'!J$2:J$91*'Gear Loadout'!E$2:E$91)</f>
        <v>0</v>
      </c>
      <c r="O15" s="8" t="n">
        <f aca="false">SUMIFS('Talent Loadout'!G$2:G$241,'Talent Loadout'!A$2:A$241,A15,'Talent Loadout'!D$2:D$241,"StatStrength")</f>
        <v>0</v>
      </c>
      <c r="P15" s="8" t="n">
        <f aca="false">SUMIFS('Talent Loadout'!G$2:G$241,'Talent Loadout'!A$2:A$241,A15,'Talent Loadout'!D$2:D$241,"StatAgility")</f>
        <v>0</v>
      </c>
      <c r="Q15" s="8" t="n">
        <f aca="false">SUMIFS('Talent Loadout'!G$2:G$241,'Talent Loadout'!A$2:A$241,A15,'Talent Loadout'!D$2:D$241,"StatEndurance")</f>
        <v>0</v>
      </c>
      <c r="R15" s="8" t="n">
        <f aca="false">SUMIFS('Talent Loadout'!G$2:G$241,'Talent Loadout'!A$2:A$241,A15,'Talent Loadout'!D$2:D$241,"StatFlexibility")</f>
        <v>0</v>
      </c>
      <c r="S15" s="8" t="n">
        <f aca="false">SUMIFS('Talent Loadout'!G$2:G$241,'Talent Loadout'!A$2:A$241,A15,'Talent Loadout'!D$2:D$241,"StatStamina")</f>
        <v>0</v>
      </c>
      <c r="T15" s="8" t="n">
        <f aca="false">SUMIFS('Talent Loadout'!G$2:G$241,'Talent Loadout'!A$2:A$241,A15,'Talent Loadout'!D$2:D$241,"BossDamagePct")</f>
        <v>0</v>
      </c>
      <c r="U15" s="8" t="n">
        <f aca="false">SUMIFS('Talent Loadout'!G$2:G$241,'Talent Loadout'!A$2:A$241,A15,'Talent Loadout'!D$2:D$241,"BossActiveDamagePct")</f>
        <v>0</v>
      </c>
      <c r="V15" s="8" t="n">
        <f aca="false">D15+J15+O15</f>
        <v>40</v>
      </c>
      <c r="W15" s="8" t="n">
        <f aca="false">E15+K15+P15</f>
        <v>48</v>
      </c>
      <c r="X15" s="8" t="n">
        <f aca="false">F15+L15+Q15</f>
        <v>56</v>
      </c>
      <c r="Y15" s="8" t="n">
        <f aca="false">G15+M15+R15</f>
        <v>24</v>
      </c>
      <c r="Z15" s="8" t="n">
        <f aca="false">H15+N15+S15</f>
        <v>40</v>
      </c>
      <c r="AA15" s="8" t="n">
        <f aca="false">ROUND((10+2*V15+W15)*(1+T15/100),0)</f>
        <v>138</v>
      </c>
      <c r="AB15" s="8" t="n">
        <f aca="false">ROUND(5+W15+1.5*Y15,0)</f>
        <v>89</v>
      </c>
      <c r="AC15" s="8" t="n">
        <f aca="false">ROUND(50+8*Z15+4*X15,0)</f>
        <v>594</v>
      </c>
      <c r="AD15" s="8" t="n">
        <f aca="false">ROUND(100+20*C15+3*AA15+3*AB15+0.6*AC15+40*I15,0)</f>
        <v>3257</v>
      </c>
      <c r="AE15" s="6" t="n">
        <f aca="false">MIN(4,MAX(1,1+MAX(0,AD15-195)*0.0005))</f>
        <v>2.531</v>
      </c>
      <c r="AF15" s="8" t="n">
        <f aca="false">'Activity Scenarios'!G2</f>
        <v>286</v>
      </c>
      <c r="AG15" s="8" t="n">
        <f aca="false">ROUND(ROUND(AF15*AE15,0)*(1+U15/100),0)</f>
        <v>724</v>
      </c>
    </row>
    <row r="16" customFormat="false" ht="12.8" hidden="false" customHeight="false" outlineLevel="0" collapsed="false">
      <c r="A16" s="0" t="n">
        <v>15</v>
      </c>
      <c r="B16" s="0" t="s">
        <v>78</v>
      </c>
      <c r="C16" s="7" t="n">
        <v>85</v>
      </c>
      <c r="D16" s="7" t="n">
        <v>42</v>
      </c>
      <c r="E16" s="7" t="n">
        <v>51</v>
      </c>
      <c r="F16" s="7" t="n">
        <v>59</v>
      </c>
      <c r="G16" s="7" t="n">
        <v>26</v>
      </c>
      <c r="H16" s="7" t="n">
        <v>42</v>
      </c>
      <c r="I16" s="7" t="n">
        <v>14</v>
      </c>
      <c r="J16" s="8" t="n">
        <f aca="false">SUMPRODUCT(('Gear Loadout'!A$2:A$91=A16)*'Gear Loadout'!F$2:F$91*'Gear Loadout'!E$2:E$91)</f>
        <v>0</v>
      </c>
      <c r="K16" s="8" t="n">
        <f aca="false">SUMPRODUCT(('Gear Loadout'!A$2:A$91=A16)*'Gear Loadout'!G$2:G$91*'Gear Loadout'!E$2:E$91)</f>
        <v>0</v>
      </c>
      <c r="L16" s="8" t="n">
        <f aca="false">SUMPRODUCT(('Gear Loadout'!A$2:A$91=A16)*'Gear Loadout'!H$2:H$91*'Gear Loadout'!E$2:E$91)</f>
        <v>0</v>
      </c>
      <c r="M16" s="8" t="n">
        <f aca="false">SUMPRODUCT(('Gear Loadout'!A$2:A$91=A16)*'Gear Loadout'!I$2:I$91*'Gear Loadout'!E$2:E$91)</f>
        <v>0</v>
      </c>
      <c r="N16" s="8" t="n">
        <f aca="false">SUMPRODUCT(('Gear Loadout'!A$2:A$91=A16)*'Gear Loadout'!J$2:J$91*'Gear Loadout'!E$2:E$91)</f>
        <v>0</v>
      </c>
      <c r="O16" s="8" t="n">
        <f aca="false">SUMIFS('Talent Loadout'!G$2:G$241,'Talent Loadout'!A$2:A$241,A16,'Talent Loadout'!D$2:D$241,"StatStrength")</f>
        <v>0</v>
      </c>
      <c r="P16" s="8" t="n">
        <f aca="false">SUMIFS('Talent Loadout'!G$2:G$241,'Talent Loadout'!A$2:A$241,A16,'Talent Loadout'!D$2:D$241,"StatAgility")</f>
        <v>0</v>
      </c>
      <c r="Q16" s="8" t="n">
        <f aca="false">SUMIFS('Talent Loadout'!G$2:G$241,'Talent Loadout'!A$2:A$241,A16,'Talent Loadout'!D$2:D$241,"StatEndurance")</f>
        <v>0</v>
      </c>
      <c r="R16" s="8" t="n">
        <f aca="false">SUMIFS('Talent Loadout'!G$2:G$241,'Talent Loadout'!A$2:A$241,A16,'Talent Loadout'!D$2:D$241,"StatFlexibility")</f>
        <v>0</v>
      </c>
      <c r="S16" s="8" t="n">
        <f aca="false">SUMIFS('Talent Loadout'!G$2:G$241,'Talent Loadout'!A$2:A$241,A16,'Talent Loadout'!D$2:D$241,"StatStamina")</f>
        <v>0</v>
      </c>
      <c r="T16" s="8" t="n">
        <f aca="false">SUMIFS('Talent Loadout'!G$2:G$241,'Talent Loadout'!A$2:A$241,A16,'Talent Loadout'!D$2:D$241,"BossDamagePct")</f>
        <v>0</v>
      </c>
      <c r="U16" s="8" t="n">
        <f aca="false">SUMIFS('Talent Loadout'!G$2:G$241,'Talent Loadout'!A$2:A$241,A16,'Talent Loadout'!D$2:D$241,"BossActiveDamagePct")</f>
        <v>0</v>
      </c>
      <c r="V16" s="8" t="n">
        <f aca="false">D16+J16+O16</f>
        <v>42</v>
      </c>
      <c r="W16" s="8" t="n">
        <f aca="false">E16+K16+P16</f>
        <v>51</v>
      </c>
      <c r="X16" s="8" t="n">
        <f aca="false">F16+L16+Q16</f>
        <v>59</v>
      </c>
      <c r="Y16" s="8" t="n">
        <f aca="false">G16+M16+R16</f>
        <v>26</v>
      </c>
      <c r="Z16" s="8" t="n">
        <f aca="false">H16+N16+S16</f>
        <v>42</v>
      </c>
      <c r="AA16" s="8" t="n">
        <f aca="false">ROUND((10+2*V16+W16)*(1+T16/100),0)</f>
        <v>145</v>
      </c>
      <c r="AB16" s="8" t="n">
        <f aca="false">ROUND(5+W16+1.5*Y16,0)</f>
        <v>95</v>
      </c>
      <c r="AC16" s="8" t="n">
        <f aca="false">ROUND(50+8*Z16+4*X16,0)</f>
        <v>622</v>
      </c>
      <c r="AD16" s="8" t="n">
        <f aca="false">ROUND(100+20*C16+3*AA16+3*AB16+0.6*AC16+40*I16,0)</f>
        <v>3453</v>
      </c>
      <c r="AE16" s="6" t="n">
        <f aca="false">MIN(4,MAX(1,1+MAX(0,AD16-195)*0.0005))</f>
        <v>2.629</v>
      </c>
      <c r="AF16" s="8" t="n">
        <f aca="false">'Activity Scenarios'!G2</f>
        <v>286</v>
      </c>
      <c r="AG16" s="8" t="n">
        <f aca="false">ROUND(ROUND(AF16*AE16,0)*(1+U16/100),0)</f>
        <v>752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5"/>
    <col collapsed="false" customWidth="true" hidden="false" outlineLevel="0" max="3" min="2" style="0" width="15.32"/>
    <col collapsed="false" customWidth="true" hidden="false" outlineLevel="0" max="4" min="4" style="0" width="16.85"/>
    <col collapsed="false" customWidth="true" hidden="false" outlineLevel="0" max="5" min="5" style="0" width="15.32"/>
    <col collapsed="false" customWidth="true" hidden="false" outlineLevel="0" max="7" min="6" style="0" width="17.37"/>
    <col collapsed="false" customWidth="true" hidden="false" outlineLevel="0" max="8" min="8" style="0" width="25.54"/>
    <col collapsed="false" customWidth="true" hidden="false" outlineLevel="0" max="9" min="9" style="0" width="43.41"/>
  </cols>
  <sheetData>
    <row r="1" customFormat="false" ht="12.8" hidden="false" customHeight="false" outlineLevel="0" collapsed="false">
      <c r="A1" s="4" t="s">
        <v>150</v>
      </c>
      <c r="B1" s="4" t="s">
        <v>151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  <c r="H1" s="4" t="s">
        <v>157</v>
      </c>
      <c r="I1" s="4" t="s">
        <v>25</v>
      </c>
    </row>
    <row r="2" customFormat="false" ht="12.8" hidden="false" customHeight="false" outlineLevel="0" collapsed="false">
      <c r="A2" s="0" t="s">
        <v>158</v>
      </c>
      <c r="B2" s="7" t="n">
        <v>1.3</v>
      </c>
      <c r="C2" s="7" t="n">
        <v>45</v>
      </c>
      <c r="D2" s="7" t="n">
        <v>0</v>
      </c>
      <c r="E2" s="7" t="n">
        <v>350</v>
      </c>
      <c r="F2" s="8" t="n">
        <f aca="false">E2*0.5+C2+D2*3</f>
        <v>220</v>
      </c>
      <c r="G2" s="8" t="n">
        <f aca="false">INT(F2*B2)</f>
        <v>286</v>
      </c>
      <c r="H2" s="8" t="n">
        <f aca="false">ROUND(G2*Settings!B4*(1+Settings!B5/100),0)</f>
        <v>286</v>
      </c>
      <c r="I2" s="0" t="s">
        <v>159</v>
      </c>
    </row>
    <row r="3" customFormat="false" ht="12.8" hidden="false" customHeight="false" outlineLevel="0" collapsed="false">
      <c r="A3" s="0" t="s">
        <v>160</v>
      </c>
      <c r="B3" s="7" t="n">
        <v>1.2</v>
      </c>
      <c r="C3" s="7" t="n">
        <v>40</v>
      </c>
      <c r="D3" s="7" t="n">
        <v>6</v>
      </c>
      <c r="E3" s="7" t="n">
        <v>400</v>
      </c>
      <c r="F3" s="8" t="n">
        <f aca="false">E3*0.5+C3+D3*3</f>
        <v>258</v>
      </c>
      <c r="G3" s="8" t="n">
        <f aca="false">INT(F3*B3)</f>
        <v>309</v>
      </c>
      <c r="H3" s="8" t="n">
        <f aca="false">ROUND(G3*Settings!B4*(1+Settings!B5/100),0)</f>
        <v>309</v>
      </c>
      <c r="I3" s="0" t="s">
        <v>159</v>
      </c>
    </row>
    <row r="4" customFormat="false" ht="12.8" hidden="false" customHeight="false" outlineLevel="0" collapsed="false">
      <c r="A4" s="0" t="s">
        <v>161</v>
      </c>
      <c r="B4" s="7" t="n">
        <v>1.1</v>
      </c>
      <c r="C4" s="7" t="n">
        <v>45</v>
      </c>
      <c r="D4" s="7" t="n">
        <v>1.5</v>
      </c>
      <c r="E4" s="7" t="n">
        <v>350</v>
      </c>
      <c r="F4" s="8" t="n">
        <f aca="false">E4*0.5+C4+D4*3</f>
        <v>224.5</v>
      </c>
      <c r="G4" s="8" t="n">
        <f aca="false">INT(F4*B4)</f>
        <v>246</v>
      </c>
      <c r="H4" s="8" t="n">
        <f aca="false">ROUND(G4*Settings!B4*(1+Settings!B5/100),0)</f>
        <v>246</v>
      </c>
      <c r="I4" s="0" t="s">
        <v>159</v>
      </c>
    </row>
    <row r="5" customFormat="false" ht="12.8" hidden="false" customHeight="false" outlineLevel="0" collapsed="false">
      <c r="A5" s="0" t="s">
        <v>162</v>
      </c>
      <c r="B5" s="7" t="n">
        <v>1</v>
      </c>
      <c r="C5" s="7" t="n">
        <v>50</v>
      </c>
      <c r="D5" s="7" t="n">
        <v>0</v>
      </c>
      <c r="E5" s="7" t="n">
        <v>350</v>
      </c>
      <c r="F5" s="8" t="n">
        <f aca="false">E5*0.5+C5+D5*3</f>
        <v>225</v>
      </c>
      <c r="G5" s="8" t="n">
        <f aca="false">INT(F5*B5)</f>
        <v>225</v>
      </c>
      <c r="H5" s="8" t="n">
        <f aca="false">ROUND(G5*Settings!B4*(1+Settings!B5/100),0)</f>
        <v>225</v>
      </c>
      <c r="I5" s="0" t="s">
        <v>159</v>
      </c>
    </row>
    <row r="6" customFormat="false" ht="12.8" hidden="false" customHeight="false" outlineLevel="0" collapsed="false">
      <c r="A6" s="0" t="s">
        <v>163</v>
      </c>
      <c r="B6" s="7" t="n">
        <v>1</v>
      </c>
      <c r="C6" s="7" t="n">
        <v>60</v>
      </c>
      <c r="D6" s="7" t="n">
        <v>20</v>
      </c>
      <c r="E6" s="7" t="n">
        <v>500</v>
      </c>
      <c r="F6" s="8" t="n">
        <f aca="false">E6*0.5+C6+D6*3</f>
        <v>370</v>
      </c>
      <c r="G6" s="8" t="n">
        <f aca="false">INT(F6*B6)</f>
        <v>370</v>
      </c>
      <c r="H6" s="8" t="n">
        <f aca="false">ROUND(G6*Settings!B4*(1+Settings!B5/100),0)</f>
        <v>370</v>
      </c>
      <c r="I6" s="0" t="s">
        <v>159</v>
      </c>
    </row>
    <row r="7" customFormat="false" ht="12.8" hidden="false" customHeight="false" outlineLevel="0" collapsed="false">
      <c r="A7" s="0" t="s">
        <v>164</v>
      </c>
      <c r="B7" s="7" t="n">
        <v>1</v>
      </c>
      <c r="C7" s="7" t="n">
        <v>90</v>
      </c>
      <c r="D7" s="7" t="n">
        <v>8</v>
      </c>
      <c r="E7" s="7" t="n">
        <v>550</v>
      </c>
      <c r="F7" s="8" t="n">
        <f aca="false">E7*0.5+C7+D7*3</f>
        <v>389</v>
      </c>
      <c r="G7" s="8" t="n">
        <f aca="false">INT(F7*B7)</f>
        <v>389</v>
      </c>
      <c r="H7" s="8" t="n">
        <f aca="false">ROUND(G7*Settings!B4*(1+Settings!B5/100),0)</f>
        <v>389</v>
      </c>
      <c r="I7" s="0" t="s">
        <v>159</v>
      </c>
    </row>
    <row r="8" customFormat="false" ht="12.8" hidden="false" customHeight="false" outlineLevel="0" collapsed="false">
      <c r="A8" s="0" t="s">
        <v>165</v>
      </c>
      <c r="B8" s="7" t="n">
        <v>0.8</v>
      </c>
      <c r="C8" s="7" t="n">
        <v>40</v>
      </c>
      <c r="D8" s="7" t="n">
        <v>0</v>
      </c>
      <c r="E8" s="7" t="n">
        <v>150</v>
      </c>
      <c r="F8" s="8" t="n">
        <f aca="false">E8*0.5+C8+D8*3</f>
        <v>115</v>
      </c>
      <c r="G8" s="8" t="n">
        <f aca="false">INT(F8*B8)</f>
        <v>92</v>
      </c>
      <c r="H8" s="8" t="n">
        <f aca="false">ROUND(G8*Settings!B4*(1+Settings!B5/100),0)</f>
        <v>92</v>
      </c>
      <c r="I8" s="0" t="s">
        <v>159</v>
      </c>
    </row>
    <row r="9" customFormat="false" ht="12.8" hidden="false" customHeight="false" outlineLevel="0" collapsed="false">
      <c r="A9" s="0" t="s">
        <v>166</v>
      </c>
      <c r="B9" s="7" t="n">
        <v>1</v>
      </c>
      <c r="C9" s="7" t="n">
        <v>45</v>
      </c>
      <c r="D9" s="7" t="n">
        <v>0</v>
      </c>
      <c r="E9" s="7" t="n">
        <v>300</v>
      </c>
      <c r="F9" s="8" t="n">
        <f aca="false">E9*0.5+C9+D9*3</f>
        <v>195</v>
      </c>
      <c r="G9" s="8" t="n">
        <f aca="false">INT(F9*B9)</f>
        <v>195</v>
      </c>
      <c r="H9" s="8" t="n">
        <f aca="false">ROUND(G9*Settings!B4*(1+Settings!B5/100),0)</f>
        <v>195</v>
      </c>
      <c r="I9" s="0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26.56"/>
    <col collapsed="false" customWidth="true" hidden="false" outlineLevel="0" max="3" min="3" style="0" width="16.34"/>
    <col collapsed="false" customWidth="true" hidden="false" outlineLevel="0" max="4" min="4" style="0" width="24.52"/>
    <col collapsed="false" customWidth="true" hidden="false" outlineLevel="0" max="5" min="5" style="0" width="11.24"/>
    <col collapsed="false" customWidth="true" hidden="false" outlineLevel="0" max="6" min="6" style="0" width="16.34"/>
    <col collapsed="false" customWidth="true" hidden="false" outlineLevel="0" max="8" min="7" style="0" width="15.32"/>
    <col collapsed="false" customWidth="true" hidden="false" outlineLevel="0" max="9" min="9" style="0" width="14.3"/>
    <col collapsed="false" customWidth="true" hidden="false" outlineLevel="0" max="10" min="10" style="0" width="20.43"/>
    <col collapsed="false" customWidth="true" hidden="false" outlineLevel="0" max="11" min="11" style="0" width="19.4"/>
    <col collapsed="false" customWidth="true" hidden="false" outlineLevel="0" max="12" min="12" style="0" width="16.34"/>
    <col collapsed="false" customWidth="true" hidden="false" outlineLevel="0" max="13" min="13" style="0" width="15.32"/>
    <col collapsed="false" customWidth="true" hidden="false" outlineLevel="0" max="14" min="14" style="0" width="13.8"/>
    <col collapsed="false" customWidth="true" hidden="false" outlineLevel="0" max="15" min="15" style="0" width="17.88"/>
    <col collapsed="false" customWidth="true" hidden="false" outlineLevel="0" max="16" min="16" style="0" width="24.52"/>
    <col collapsed="false" customWidth="true" hidden="false" outlineLevel="0" max="17" min="17" style="0" width="20.43"/>
    <col collapsed="false" customWidth="true" hidden="false" outlineLevel="0" max="20" min="18" style="0" width="16.85"/>
    <col collapsed="false" customWidth="true" hidden="false" outlineLevel="0" max="21" min="21" style="0" width="21.96"/>
    <col collapsed="false" customWidth="true" hidden="false" outlineLevel="0" max="22" min="22" style="0" width="15.32"/>
    <col collapsed="false" customWidth="true" hidden="false" outlineLevel="0" max="24" min="23" style="0" width="16.34"/>
    <col collapsed="false" customWidth="true" hidden="false" outlineLevel="0" max="25" min="25" style="0" width="15.32"/>
    <col collapsed="false" customWidth="true" hidden="false" outlineLevel="0" max="26" min="26" style="0" width="19.4"/>
    <col collapsed="false" customWidth="true" hidden="false" outlineLevel="0" max="27" min="27" style="0" width="16.34"/>
    <col collapsed="false" customWidth="true" hidden="false" outlineLevel="0" max="28" min="28" style="0" width="17.88"/>
    <col collapsed="false" customWidth="true" hidden="false" outlineLevel="0" max="29" min="29" style="0" width="19.92"/>
  </cols>
  <sheetData>
    <row r="1" customFormat="false" ht="12.8" hidden="false" customHeight="false" outlineLevel="0" collapsed="false">
      <c r="A1" s="4" t="s">
        <v>167</v>
      </c>
      <c r="B1" s="4" t="s">
        <v>168</v>
      </c>
      <c r="C1" s="4" t="s">
        <v>169</v>
      </c>
      <c r="D1" s="4" t="s">
        <v>48</v>
      </c>
      <c r="E1" s="4" t="s">
        <v>170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178</v>
      </c>
      <c r="N1" s="4" t="s">
        <v>179</v>
      </c>
      <c r="O1" s="4" t="s">
        <v>180</v>
      </c>
      <c r="P1" s="4" t="s">
        <v>181</v>
      </c>
      <c r="Q1" s="4" t="s">
        <v>182</v>
      </c>
      <c r="R1" s="4" t="s">
        <v>183</v>
      </c>
      <c r="S1" s="4" t="s">
        <v>184</v>
      </c>
      <c r="T1" s="4" t="s">
        <v>185</v>
      </c>
      <c r="U1" s="4" t="s">
        <v>186</v>
      </c>
      <c r="V1" s="4" t="s">
        <v>187</v>
      </c>
      <c r="W1" s="4" t="s">
        <v>188</v>
      </c>
      <c r="X1" s="4" t="s">
        <v>189</v>
      </c>
      <c r="Y1" s="4" t="s">
        <v>190</v>
      </c>
      <c r="Z1" s="4" t="s">
        <v>191</v>
      </c>
      <c r="AA1" s="4" t="s">
        <v>192</v>
      </c>
      <c r="AB1" s="4" t="s">
        <v>17</v>
      </c>
      <c r="AC1" s="4" t="s">
        <v>193</v>
      </c>
    </row>
    <row r="2" customFormat="false" ht="12.8" hidden="false" customHeight="false" outlineLevel="0" collapsed="false">
      <c r="A2" s="7" t="n">
        <v>1</v>
      </c>
      <c r="B2" s="7" t="s">
        <v>194</v>
      </c>
      <c r="C2" s="7" t="n">
        <v>1</v>
      </c>
      <c r="D2" s="7" t="s">
        <v>58</v>
      </c>
      <c r="E2" s="7" t="n">
        <v>10</v>
      </c>
      <c r="F2" s="7" t="s">
        <v>195</v>
      </c>
      <c r="G2" s="7" t="n">
        <v>1824</v>
      </c>
      <c r="H2" s="7" t="n">
        <v>1200</v>
      </c>
      <c r="I2" s="7" t="n">
        <v>0</v>
      </c>
      <c r="J2" s="7" t="n">
        <f aca="false">'Player Builds'!AF2</f>
        <v>286</v>
      </c>
      <c r="K2" s="5" t="n">
        <f aca="false">'Player Builds'!AE2</f>
        <v>1.004</v>
      </c>
      <c r="L2" s="7" t="n">
        <f aca="false">'Player Builds'!U2</f>
        <v>0</v>
      </c>
      <c r="M2" s="7" t="n">
        <v>10</v>
      </c>
      <c r="N2" s="5" t="n">
        <f aca="false">Settings!B2</f>
        <v>100</v>
      </c>
      <c r="O2" s="9" t="n">
        <f aca="false">M2/(M2+N2)</f>
        <v>0.0909090909090909</v>
      </c>
      <c r="P2" s="8" t="n">
        <f aca="false">MAX(1,ROUND('Player Builds'!AG2*(1-O2),0))</f>
        <v>261</v>
      </c>
      <c r="Q2" s="8" t="n">
        <v>8</v>
      </c>
      <c r="R2" s="8" t="n">
        <f aca="false">ROUNDUP(G2/P2,0)</f>
        <v>7</v>
      </c>
      <c r="S2" s="6" t="n">
        <f aca="false">Settings!B6</f>
        <v>0.75</v>
      </c>
      <c r="T2" s="10" t="n">
        <f aca="false">R2/S2</f>
        <v>9.33333333333333</v>
      </c>
      <c r="U2" s="6" t="str">
        <f aca="false">"No timer"</f>
        <v>No timer</v>
      </c>
      <c r="V2" s="11" t="n">
        <f aca="false">H2/R2</f>
        <v>171.428571428571</v>
      </c>
      <c r="W2" s="11" t="n">
        <f aca="false">'Player Builds'!AC2</f>
        <v>54</v>
      </c>
      <c r="X2" s="11" t="n">
        <f aca="false">'Player Builds'!AB2</f>
        <v>6</v>
      </c>
      <c r="Y2" s="11" t="n">
        <v>7</v>
      </c>
      <c r="Z2" s="12" t="n">
        <f aca="false">X2/(X2+N2)</f>
        <v>0.0566037735849057</v>
      </c>
      <c r="AA2" s="13" t="n">
        <f aca="false">MAX(1,ROUND(Y2*(1-Z2),0))</f>
        <v>7</v>
      </c>
      <c r="AB2" s="13" t="n">
        <f aca="false">W2/AA2</f>
        <v>7.71428571428571</v>
      </c>
      <c r="AC2" s="13" t="n">
        <v>8</v>
      </c>
    </row>
    <row r="3" customFormat="false" ht="12.8" hidden="false" customHeight="false" outlineLevel="0" collapsed="false">
      <c r="A3" s="7" t="n">
        <v>2</v>
      </c>
      <c r="B3" s="7" t="s">
        <v>196</v>
      </c>
      <c r="C3" s="7" t="n">
        <v>8</v>
      </c>
      <c r="D3" s="7" t="s">
        <v>65</v>
      </c>
      <c r="E3" s="7" t="n">
        <v>8</v>
      </c>
      <c r="F3" s="7" t="s">
        <v>195</v>
      </c>
      <c r="G3" s="7" t="n">
        <v>1984</v>
      </c>
      <c r="H3" s="7" t="n">
        <v>1400</v>
      </c>
      <c r="I3" s="7" t="n">
        <v>0</v>
      </c>
      <c r="J3" s="7" t="n">
        <f aca="false">'Player Builds'!AF3</f>
        <v>286</v>
      </c>
      <c r="K3" s="5" t="n">
        <f aca="false">'Player Builds'!AE3</f>
        <v>1.1385</v>
      </c>
      <c r="L3" s="7" t="n">
        <f aca="false">'Player Builds'!U3</f>
        <v>0</v>
      </c>
      <c r="M3" s="7" t="n">
        <v>15</v>
      </c>
      <c r="N3" s="5" t="n">
        <f aca="false">Settings!B2</f>
        <v>100</v>
      </c>
      <c r="O3" s="9" t="n">
        <f aca="false">M3/(M3+N3)</f>
        <v>0.130434782608696</v>
      </c>
      <c r="P3" s="8" t="n">
        <f aca="false">MAX(1,ROUND('Player Builds'!AG3*(1-O3),0))</f>
        <v>283</v>
      </c>
      <c r="Q3" s="8" t="n">
        <v>8</v>
      </c>
      <c r="R3" s="8" t="n">
        <f aca="false">ROUNDUP(G3/P3,0)</f>
        <v>8</v>
      </c>
      <c r="S3" s="6" t="n">
        <f aca="false">Settings!B6</f>
        <v>0.75</v>
      </c>
      <c r="T3" s="10" t="n">
        <f aca="false">R3/S3</f>
        <v>10.6666666666667</v>
      </c>
      <c r="U3" s="6" t="str">
        <f aca="false">"No timer"</f>
        <v>No timer</v>
      </c>
      <c r="V3" s="11" t="n">
        <f aca="false">H3/R3</f>
        <v>175</v>
      </c>
      <c r="W3" s="11" t="n">
        <f aca="false">'Player Builds'!AC3</f>
        <v>106</v>
      </c>
      <c r="X3" s="11" t="n">
        <f aca="false">'Player Builds'!AB3</f>
        <v>13</v>
      </c>
      <c r="Y3" s="11" t="n">
        <v>16</v>
      </c>
      <c r="Z3" s="12" t="n">
        <f aca="false">X3/(X3+N3)</f>
        <v>0.115044247787611</v>
      </c>
      <c r="AA3" s="13" t="n">
        <f aca="false">MAX(1,ROUND(Y3*(1-Z3),0))</f>
        <v>14</v>
      </c>
      <c r="AB3" s="13" t="n">
        <f aca="false">W3/AA3</f>
        <v>7.57142857142857</v>
      </c>
      <c r="AC3" s="13" t="n">
        <v>8</v>
      </c>
    </row>
    <row r="4" customFormat="false" ht="12.8" hidden="false" customHeight="false" outlineLevel="0" collapsed="false">
      <c r="A4" s="7" t="n">
        <v>3</v>
      </c>
      <c r="B4" s="7" t="s">
        <v>197</v>
      </c>
      <c r="C4" s="7" t="n">
        <v>15</v>
      </c>
      <c r="D4" s="7" t="s">
        <v>66</v>
      </c>
      <c r="E4" s="7" t="n">
        <v>8</v>
      </c>
      <c r="F4" s="7" t="s">
        <v>195</v>
      </c>
      <c r="G4" s="7" t="n">
        <v>2120</v>
      </c>
      <c r="H4" s="7" t="n">
        <v>1600</v>
      </c>
      <c r="I4" s="7" t="n">
        <v>0</v>
      </c>
      <c r="J4" s="7" t="n">
        <f aca="false">'Player Builds'!AF4</f>
        <v>286</v>
      </c>
      <c r="K4" s="5" t="n">
        <f aca="false">'Player Builds'!AE4</f>
        <v>1.271</v>
      </c>
      <c r="L4" s="7" t="n">
        <f aca="false">'Player Builds'!U4</f>
        <v>0</v>
      </c>
      <c r="M4" s="7" t="n">
        <v>20</v>
      </c>
      <c r="N4" s="5" t="n">
        <f aca="false">Settings!B2</f>
        <v>100</v>
      </c>
      <c r="O4" s="9" t="n">
        <f aca="false">M4/(M4+N4)</f>
        <v>0.166666666666667</v>
      </c>
      <c r="P4" s="8" t="n">
        <f aca="false">MAX(1,ROUND('Player Builds'!AG4*(1-O4),0))</f>
        <v>303</v>
      </c>
      <c r="Q4" s="8" t="n">
        <v>8</v>
      </c>
      <c r="R4" s="8" t="n">
        <f aca="false">ROUNDUP(G4/P4,0)</f>
        <v>7</v>
      </c>
      <c r="S4" s="6" t="n">
        <f aca="false">Settings!B6</f>
        <v>0.75</v>
      </c>
      <c r="T4" s="10" t="n">
        <f aca="false">R4/S4</f>
        <v>9.33333333333333</v>
      </c>
      <c r="U4" s="6" t="str">
        <f aca="false">"No timer"</f>
        <v>No timer</v>
      </c>
      <c r="V4" s="11" t="n">
        <f aca="false">H4/R4</f>
        <v>228.571428571429</v>
      </c>
      <c r="W4" s="11" t="n">
        <f aca="false">'Player Builds'!AC4</f>
        <v>154</v>
      </c>
      <c r="X4" s="11" t="n">
        <f aca="false">'Player Builds'!AB4</f>
        <v>20</v>
      </c>
      <c r="Y4" s="11" t="n">
        <v>24</v>
      </c>
      <c r="Z4" s="12" t="n">
        <f aca="false">X4/(X4+N4)</f>
        <v>0.166666666666667</v>
      </c>
      <c r="AA4" s="13" t="n">
        <f aca="false">MAX(1,ROUND(Y4*(1-Z4),0))</f>
        <v>20</v>
      </c>
      <c r="AB4" s="13" t="n">
        <f aca="false">W4/AA4</f>
        <v>7.7</v>
      </c>
      <c r="AC4" s="13" t="n">
        <v>8</v>
      </c>
    </row>
    <row r="5" customFormat="false" ht="12.8" hidden="false" customHeight="false" outlineLevel="0" collapsed="false">
      <c r="A5" s="7" t="n">
        <v>4</v>
      </c>
      <c r="B5" s="7" t="s">
        <v>198</v>
      </c>
      <c r="C5" s="7" t="n">
        <v>25</v>
      </c>
      <c r="D5" s="7" t="s">
        <v>67</v>
      </c>
      <c r="E5" s="7" t="n">
        <v>8</v>
      </c>
      <c r="F5" s="7" t="s">
        <v>195</v>
      </c>
      <c r="G5" s="7" t="n">
        <v>2320</v>
      </c>
      <c r="H5" s="7" t="n">
        <v>1800</v>
      </c>
      <c r="I5" s="7" t="n">
        <v>0</v>
      </c>
      <c r="J5" s="7" t="n">
        <f aca="false">'Player Builds'!AF5</f>
        <v>286</v>
      </c>
      <c r="K5" s="5" t="n">
        <f aca="false">'Player Builds'!AE5</f>
        <v>1.4495</v>
      </c>
      <c r="L5" s="7" t="n">
        <f aca="false">'Player Builds'!U5</f>
        <v>0</v>
      </c>
      <c r="M5" s="7" t="n">
        <v>25</v>
      </c>
      <c r="N5" s="5" t="n">
        <f aca="false">Settings!B2</f>
        <v>100</v>
      </c>
      <c r="O5" s="9" t="n">
        <f aca="false">M5/(M5+N5)</f>
        <v>0.2</v>
      </c>
      <c r="P5" s="8" t="n">
        <f aca="false">MAX(1,ROUND('Player Builds'!AG5*(1-O5),0))</f>
        <v>332</v>
      </c>
      <c r="Q5" s="8" t="n">
        <v>8</v>
      </c>
      <c r="R5" s="8" t="n">
        <f aca="false">ROUNDUP(G5/P5,0)</f>
        <v>7</v>
      </c>
      <c r="S5" s="6" t="n">
        <f aca="false">Settings!B6</f>
        <v>0.75</v>
      </c>
      <c r="T5" s="10" t="n">
        <f aca="false">R5/S5</f>
        <v>9.33333333333333</v>
      </c>
      <c r="U5" s="6" t="str">
        <f aca="false">"No timer"</f>
        <v>No timer</v>
      </c>
      <c r="V5" s="11" t="n">
        <f aca="false">H5/R5</f>
        <v>257.142857142857</v>
      </c>
      <c r="W5" s="11" t="n">
        <f aca="false">'Player Builds'!AC5</f>
        <v>218</v>
      </c>
      <c r="X5" s="11" t="n">
        <f aca="false">'Player Builds'!AB5</f>
        <v>32</v>
      </c>
      <c r="Y5" s="11" t="n">
        <v>37</v>
      </c>
      <c r="Z5" s="12" t="n">
        <f aca="false">X5/(X5+N5)</f>
        <v>0.242424242424242</v>
      </c>
      <c r="AA5" s="13" t="n">
        <f aca="false">MAX(1,ROUND(Y5*(1-Z5),0))</f>
        <v>28</v>
      </c>
      <c r="AB5" s="13" t="n">
        <f aca="false">W5/AA5</f>
        <v>7.78571428571429</v>
      </c>
      <c r="AC5" s="13" t="n">
        <v>8</v>
      </c>
    </row>
    <row r="6" customFormat="false" ht="12.8" hidden="false" customHeight="false" outlineLevel="0" collapsed="false">
      <c r="A6" s="7" t="n">
        <v>5</v>
      </c>
      <c r="B6" s="7" t="s">
        <v>199</v>
      </c>
      <c r="C6" s="7" t="n">
        <v>32</v>
      </c>
      <c r="D6" s="7" t="s">
        <v>68</v>
      </c>
      <c r="E6" s="7" t="n">
        <v>8</v>
      </c>
      <c r="F6" s="7" t="s">
        <v>195</v>
      </c>
      <c r="G6" s="7" t="n">
        <v>3050</v>
      </c>
      <c r="H6" s="7" t="n">
        <v>2480</v>
      </c>
      <c r="I6" s="7" t="n">
        <v>0</v>
      </c>
      <c r="J6" s="7" t="n">
        <f aca="false">'Player Builds'!AF6</f>
        <v>286</v>
      </c>
      <c r="K6" s="5" t="n">
        <f aca="false">'Player Builds'!AE6</f>
        <v>1.5825</v>
      </c>
      <c r="L6" s="7" t="n">
        <f aca="false">'Player Builds'!U6</f>
        <v>0</v>
      </c>
      <c r="M6" s="7" t="n">
        <v>30</v>
      </c>
      <c r="N6" s="5" t="n">
        <f aca="false">Settings!B2</f>
        <v>100</v>
      </c>
      <c r="O6" s="9" t="n">
        <f aca="false">M6/(M6+N6)</f>
        <v>0.230769230769231</v>
      </c>
      <c r="P6" s="8" t="n">
        <f aca="false">MAX(1,ROUND('Player Builds'!AG6*(1-O6),0))</f>
        <v>348</v>
      </c>
      <c r="Q6" s="8" t="n">
        <v>10</v>
      </c>
      <c r="R6" s="8" t="n">
        <f aca="false">ROUNDUP(G6/P6,0)</f>
        <v>9</v>
      </c>
      <c r="S6" s="6" t="n">
        <f aca="false">Settings!B6</f>
        <v>0.75</v>
      </c>
      <c r="T6" s="10" t="n">
        <f aca="false">R6/S6</f>
        <v>12</v>
      </c>
      <c r="U6" s="6" t="str">
        <f aca="false">"No timer"</f>
        <v>No timer</v>
      </c>
      <c r="V6" s="11" t="n">
        <f aca="false">H6/R6</f>
        <v>275.555555555556</v>
      </c>
      <c r="W6" s="11" t="n">
        <f aca="false">'Player Builds'!AC6</f>
        <v>266</v>
      </c>
      <c r="X6" s="11" t="n">
        <f aca="false">'Player Builds'!AB6</f>
        <v>39</v>
      </c>
      <c r="Y6" s="11" t="n">
        <v>53</v>
      </c>
      <c r="Z6" s="12" t="n">
        <f aca="false">X6/(X6+N6)</f>
        <v>0.280575539568345</v>
      </c>
      <c r="AA6" s="13" t="n">
        <f aca="false">MAX(1,ROUND(Y6*(1-Z6),0))</f>
        <v>38</v>
      </c>
      <c r="AB6" s="13" t="n">
        <f aca="false">W6/AA6</f>
        <v>7</v>
      </c>
      <c r="AC6" s="13" t="n">
        <v>7</v>
      </c>
    </row>
    <row r="7" customFormat="false" ht="12.8" hidden="false" customHeight="false" outlineLevel="0" collapsed="false">
      <c r="A7" s="7" t="n">
        <v>6</v>
      </c>
      <c r="B7" s="7" t="s">
        <v>200</v>
      </c>
      <c r="C7" s="7" t="n">
        <v>38</v>
      </c>
      <c r="D7" s="7" t="s">
        <v>69</v>
      </c>
      <c r="E7" s="7" t="n">
        <v>8</v>
      </c>
      <c r="F7" s="7" t="s">
        <v>195</v>
      </c>
      <c r="G7" s="7" t="n">
        <v>3140</v>
      </c>
      <c r="H7" s="7" t="n">
        <v>2600</v>
      </c>
      <c r="I7" s="7" t="n">
        <v>0</v>
      </c>
      <c r="J7" s="7" t="n">
        <f aca="false">'Player Builds'!AF7</f>
        <v>286</v>
      </c>
      <c r="K7" s="5" t="n">
        <f aca="false">'Player Builds'!AE7</f>
        <v>1.6995</v>
      </c>
      <c r="L7" s="7" t="n">
        <f aca="false">'Player Builds'!U7</f>
        <v>0</v>
      </c>
      <c r="M7" s="7" t="n">
        <v>35</v>
      </c>
      <c r="N7" s="5" t="n">
        <f aca="false">Settings!B2</f>
        <v>100</v>
      </c>
      <c r="O7" s="9" t="n">
        <f aca="false">M7/(M7+N7)</f>
        <v>0.259259259259259</v>
      </c>
      <c r="P7" s="8" t="n">
        <f aca="false">MAX(1,ROUND('Player Builds'!AG7*(1-O7),0))</f>
        <v>360</v>
      </c>
      <c r="Q7" s="8" t="n">
        <v>10</v>
      </c>
      <c r="R7" s="8" t="n">
        <f aca="false">ROUNDUP(G7/P7,0)</f>
        <v>9</v>
      </c>
      <c r="S7" s="6" t="n">
        <f aca="false">Settings!B6</f>
        <v>0.75</v>
      </c>
      <c r="T7" s="10" t="n">
        <f aca="false">R7/S7</f>
        <v>12</v>
      </c>
      <c r="U7" s="6" t="str">
        <f aca="false">"No timer"</f>
        <v>No timer</v>
      </c>
      <c r="V7" s="11" t="n">
        <f aca="false">H7/R7</f>
        <v>288.888888888889</v>
      </c>
      <c r="W7" s="11" t="n">
        <f aca="false">'Player Builds'!AC7</f>
        <v>310</v>
      </c>
      <c r="X7" s="11" t="n">
        <f aca="false">'Player Builds'!AB7</f>
        <v>45</v>
      </c>
      <c r="Y7" s="11" t="n">
        <v>65</v>
      </c>
      <c r="Z7" s="12" t="n">
        <f aca="false">X7/(X7+N7)</f>
        <v>0.310344827586207</v>
      </c>
      <c r="AA7" s="13" t="n">
        <f aca="false">MAX(1,ROUND(Y7*(1-Z7),0))</f>
        <v>45</v>
      </c>
      <c r="AB7" s="13" t="n">
        <f aca="false">W7/AA7</f>
        <v>6.88888888888889</v>
      </c>
      <c r="AC7" s="13" t="n">
        <v>7</v>
      </c>
    </row>
    <row r="8" customFormat="false" ht="12.8" hidden="false" customHeight="false" outlineLevel="0" collapsed="false">
      <c r="A8" s="7" t="n">
        <v>7</v>
      </c>
      <c r="B8" s="7" t="s">
        <v>201</v>
      </c>
      <c r="C8" s="7" t="n">
        <v>44</v>
      </c>
      <c r="D8" s="7" t="s">
        <v>70</v>
      </c>
      <c r="E8" s="7" t="n">
        <v>8</v>
      </c>
      <c r="F8" s="7" t="s">
        <v>195</v>
      </c>
      <c r="G8" s="7" t="n">
        <v>3240</v>
      </c>
      <c r="H8" s="7" t="n">
        <v>2720</v>
      </c>
      <c r="I8" s="7" t="n">
        <v>0</v>
      </c>
      <c r="J8" s="7" t="n">
        <f aca="false">'Player Builds'!AF8</f>
        <v>286</v>
      </c>
      <c r="K8" s="5" t="n">
        <f aca="false">'Player Builds'!AE8</f>
        <v>1.814</v>
      </c>
      <c r="L8" s="7" t="n">
        <f aca="false">'Player Builds'!U8</f>
        <v>0</v>
      </c>
      <c r="M8" s="7" t="n">
        <v>40</v>
      </c>
      <c r="N8" s="5" t="n">
        <f aca="false">Settings!B2</f>
        <v>100</v>
      </c>
      <c r="O8" s="9" t="n">
        <f aca="false">M8/(M8+N8)</f>
        <v>0.285714285714286</v>
      </c>
      <c r="P8" s="8" t="n">
        <f aca="false">MAX(1,ROUND('Player Builds'!AG8*(1-O8),0))</f>
        <v>371</v>
      </c>
      <c r="Q8" s="8" t="n">
        <v>10</v>
      </c>
      <c r="R8" s="8" t="n">
        <f aca="false">ROUNDUP(G8/P8,0)</f>
        <v>9</v>
      </c>
      <c r="S8" s="6" t="n">
        <f aca="false">Settings!B6</f>
        <v>0.75</v>
      </c>
      <c r="T8" s="10" t="n">
        <f aca="false">R8/S8</f>
        <v>12</v>
      </c>
      <c r="U8" s="6" t="str">
        <f aca="false">"No timer"</f>
        <v>No timer</v>
      </c>
      <c r="V8" s="11" t="n">
        <f aca="false">H8/R8</f>
        <v>302.222222222222</v>
      </c>
      <c r="W8" s="11" t="n">
        <f aca="false">'Player Builds'!AC8</f>
        <v>350</v>
      </c>
      <c r="X8" s="11" t="n">
        <f aca="false">'Player Builds'!AB8</f>
        <v>51</v>
      </c>
      <c r="Y8" s="11" t="n">
        <v>75</v>
      </c>
      <c r="Z8" s="12" t="n">
        <f aca="false">X8/(X8+N8)</f>
        <v>0.337748344370861</v>
      </c>
      <c r="AA8" s="13" t="n">
        <f aca="false">MAX(1,ROUND(Y8*(1-Z8),0))</f>
        <v>50</v>
      </c>
      <c r="AB8" s="13" t="n">
        <f aca="false">W8/AA8</f>
        <v>7</v>
      </c>
      <c r="AC8" s="13" t="n">
        <v>7</v>
      </c>
    </row>
    <row r="9" customFormat="false" ht="12.8" hidden="false" customHeight="false" outlineLevel="0" collapsed="false">
      <c r="A9" s="7" t="n">
        <v>8</v>
      </c>
      <c r="B9" s="7" t="s">
        <v>202</v>
      </c>
      <c r="C9" s="7" t="n">
        <v>50</v>
      </c>
      <c r="D9" s="7" t="s">
        <v>71</v>
      </c>
      <c r="E9" s="7" t="n">
        <v>8</v>
      </c>
      <c r="F9" s="7" t="s">
        <v>195</v>
      </c>
      <c r="G9" s="7" t="n">
        <v>3330</v>
      </c>
      <c r="H9" s="7" t="n">
        <v>2840</v>
      </c>
      <c r="I9" s="7" t="n">
        <v>0</v>
      </c>
      <c r="J9" s="7" t="n">
        <f aca="false">'Player Builds'!AF9</f>
        <v>286</v>
      </c>
      <c r="K9" s="5" t="n">
        <f aca="false">'Player Builds'!AE9</f>
        <v>1.9315</v>
      </c>
      <c r="L9" s="7" t="n">
        <f aca="false">'Player Builds'!U9</f>
        <v>0</v>
      </c>
      <c r="M9" s="7" t="n">
        <v>45</v>
      </c>
      <c r="N9" s="5" t="n">
        <f aca="false">Settings!B2</f>
        <v>100</v>
      </c>
      <c r="O9" s="9" t="n">
        <f aca="false">M9/(M9+N9)</f>
        <v>0.310344827586207</v>
      </c>
      <c r="P9" s="8" t="n">
        <f aca="false">MAX(1,ROUND('Player Builds'!AG9*(1-O9),0))</f>
        <v>381</v>
      </c>
      <c r="Q9" s="8" t="n">
        <v>10</v>
      </c>
      <c r="R9" s="8" t="n">
        <f aca="false">ROUNDUP(G9/P9,0)</f>
        <v>9</v>
      </c>
      <c r="S9" s="6" t="n">
        <f aca="false">Settings!B6</f>
        <v>0.75</v>
      </c>
      <c r="T9" s="10" t="n">
        <f aca="false">R9/S9</f>
        <v>12</v>
      </c>
      <c r="U9" s="6" t="str">
        <f aca="false">"No timer"</f>
        <v>No timer</v>
      </c>
      <c r="V9" s="11" t="n">
        <f aca="false">H9/R9</f>
        <v>315.555555555556</v>
      </c>
      <c r="W9" s="11" t="n">
        <f aca="false">'Player Builds'!AC9</f>
        <v>390</v>
      </c>
      <c r="X9" s="11" t="n">
        <f aca="false">'Player Builds'!AB9</f>
        <v>58</v>
      </c>
      <c r="Y9" s="11" t="n">
        <v>88</v>
      </c>
      <c r="Z9" s="12" t="n">
        <f aca="false">X9/(X9+N9)</f>
        <v>0.367088607594937</v>
      </c>
      <c r="AA9" s="13" t="n">
        <f aca="false">MAX(1,ROUND(Y9*(1-Z9),0))</f>
        <v>56</v>
      </c>
      <c r="AB9" s="13" t="n">
        <f aca="false">W9/AA9</f>
        <v>6.96428571428571</v>
      </c>
      <c r="AC9" s="13" t="n">
        <v>7</v>
      </c>
    </row>
    <row r="10" customFormat="false" ht="12.8" hidden="false" customHeight="false" outlineLevel="0" collapsed="false">
      <c r="A10" s="7" t="n">
        <v>9</v>
      </c>
      <c r="B10" s="7" t="s">
        <v>203</v>
      </c>
      <c r="C10" s="7" t="n">
        <v>56</v>
      </c>
      <c r="D10" s="7" t="s">
        <v>72</v>
      </c>
      <c r="E10" s="7" t="n">
        <v>8</v>
      </c>
      <c r="F10" s="7" t="s">
        <v>195</v>
      </c>
      <c r="G10" s="7" t="n">
        <v>3410</v>
      </c>
      <c r="H10" s="7" t="n">
        <v>2960</v>
      </c>
      <c r="I10" s="7" t="n">
        <v>0</v>
      </c>
      <c r="J10" s="7" t="n">
        <f aca="false">'Player Builds'!AF10</f>
        <v>286</v>
      </c>
      <c r="K10" s="5" t="n">
        <f aca="false">'Player Builds'!AE10</f>
        <v>2.049</v>
      </c>
      <c r="L10" s="7" t="n">
        <f aca="false">'Player Builds'!U10</f>
        <v>0</v>
      </c>
      <c r="M10" s="7" t="n">
        <v>50</v>
      </c>
      <c r="N10" s="5" t="n">
        <f aca="false">Settings!B2</f>
        <v>100</v>
      </c>
      <c r="O10" s="9" t="n">
        <f aca="false">M10/(M10+N10)</f>
        <v>0.333333333333333</v>
      </c>
      <c r="P10" s="8" t="n">
        <f aca="false">MAX(1,ROUND('Player Builds'!AG10*(1-O10),0))</f>
        <v>391</v>
      </c>
      <c r="Q10" s="8" t="n">
        <v>10</v>
      </c>
      <c r="R10" s="8" t="n">
        <f aca="false">ROUNDUP(G10/P10,0)</f>
        <v>9</v>
      </c>
      <c r="S10" s="6" t="n">
        <f aca="false">Settings!B6</f>
        <v>0.75</v>
      </c>
      <c r="T10" s="10" t="n">
        <f aca="false">R10/S10</f>
        <v>12</v>
      </c>
      <c r="U10" s="6" t="str">
        <f aca="false">"No timer"</f>
        <v>No timer</v>
      </c>
      <c r="V10" s="11" t="n">
        <f aca="false">H10/R10</f>
        <v>328.888888888889</v>
      </c>
      <c r="W10" s="11" t="n">
        <f aca="false">'Player Builds'!AC10</f>
        <v>430</v>
      </c>
      <c r="X10" s="11" t="n">
        <f aca="false">'Player Builds'!AB10</f>
        <v>65</v>
      </c>
      <c r="Y10" s="11" t="n">
        <v>102</v>
      </c>
      <c r="Z10" s="12" t="n">
        <f aca="false">X10/(X10+N10)</f>
        <v>0.393939393939394</v>
      </c>
      <c r="AA10" s="13" t="n">
        <f aca="false">MAX(1,ROUND(Y10*(1-Z10),0))</f>
        <v>62</v>
      </c>
      <c r="AB10" s="13" t="n">
        <f aca="false">W10/AA10</f>
        <v>6.93548387096774</v>
      </c>
      <c r="AC10" s="13" t="n">
        <v>7</v>
      </c>
    </row>
    <row r="11" customFormat="false" ht="12.8" hidden="false" customHeight="false" outlineLevel="0" collapsed="false">
      <c r="A11" s="7" t="n">
        <v>10</v>
      </c>
      <c r="B11" s="7" t="s">
        <v>204</v>
      </c>
      <c r="C11" s="7" t="n">
        <v>62</v>
      </c>
      <c r="D11" s="7" t="s">
        <v>73</v>
      </c>
      <c r="E11" s="7" t="n">
        <v>8</v>
      </c>
      <c r="F11" s="7" t="s">
        <v>195</v>
      </c>
      <c r="G11" s="7" t="n">
        <v>3480</v>
      </c>
      <c r="H11" s="7" t="n">
        <v>3080</v>
      </c>
      <c r="I11" s="7" t="n">
        <v>0</v>
      </c>
      <c r="J11" s="7" t="n">
        <f aca="false">'Player Builds'!AF11</f>
        <v>286</v>
      </c>
      <c r="K11" s="5" t="n">
        <f aca="false">'Player Builds'!AE11</f>
        <v>2.1635</v>
      </c>
      <c r="L11" s="7" t="n">
        <f aca="false">'Player Builds'!U11</f>
        <v>0</v>
      </c>
      <c r="M11" s="7" t="n">
        <v>55</v>
      </c>
      <c r="N11" s="5" t="n">
        <f aca="false">Settings!B2</f>
        <v>100</v>
      </c>
      <c r="O11" s="9" t="n">
        <f aca="false">M11/(M11+N11)</f>
        <v>0.354838709677419</v>
      </c>
      <c r="P11" s="8" t="n">
        <f aca="false">MAX(1,ROUND('Player Builds'!AG11*(1-O11),0))</f>
        <v>399</v>
      </c>
      <c r="Q11" s="8" t="n">
        <v>10</v>
      </c>
      <c r="R11" s="8" t="n">
        <f aca="false">ROUNDUP(G11/P11,0)</f>
        <v>9</v>
      </c>
      <c r="S11" s="6" t="n">
        <f aca="false">Settings!B6</f>
        <v>0.75</v>
      </c>
      <c r="T11" s="10" t="n">
        <f aca="false">R11/S11</f>
        <v>12</v>
      </c>
      <c r="U11" s="6" t="str">
        <f aca="false">"No timer"</f>
        <v>No timer</v>
      </c>
      <c r="V11" s="11" t="n">
        <f aca="false">H11/R11</f>
        <v>342.222222222222</v>
      </c>
      <c r="W11" s="11" t="n">
        <f aca="false">'Player Builds'!AC11</f>
        <v>470</v>
      </c>
      <c r="X11" s="11" t="n">
        <f aca="false">'Player Builds'!AB11</f>
        <v>71</v>
      </c>
      <c r="Y11" s="11" t="n">
        <v>116</v>
      </c>
      <c r="Z11" s="12" t="n">
        <f aca="false">X11/(X11+N11)</f>
        <v>0.415204678362573</v>
      </c>
      <c r="AA11" s="13" t="n">
        <f aca="false">MAX(1,ROUND(Y11*(1-Z11),0))</f>
        <v>68</v>
      </c>
      <c r="AB11" s="13" t="n">
        <f aca="false">W11/AA11</f>
        <v>6.91176470588235</v>
      </c>
      <c r="AC11" s="13" t="n">
        <v>7</v>
      </c>
    </row>
    <row r="12" customFormat="false" ht="12.8" hidden="false" customHeight="false" outlineLevel="0" collapsed="false">
      <c r="A12" s="7" t="n">
        <v>11</v>
      </c>
      <c r="B12" s="7" t="s">
        <v>205</v>
      </c>
      <c r="C12" s="7" t="n">
        <v>68</v>
      </c>
      <c r="D12" s="7" t="s">
        <v>74</v>
      </c>
      <c r="E12" s="7" t="n">
        <v>8</v>
      </c>
      <c r="F12" s="7" t="s">
        <v>195</v>
      </c>
      <c r="G12" s="7" t="n">
        <v>4272</v>
      </c>
      <c r="H12" s="7" t="n">
        <v>3200</v>
      </c>
      <c r="I12" s="7" t="n">
        <v>0</v>
      </c>
      <c r="J12" s="7" t="n">
        <f aca="false">'Player Builds'!AF12</f>
        <v>286</v>
      </c>
      <c r="K12" s="5" t="n">
        <f aca="false">'Player Builds'!AE12</f>
        <v>2.279</v>
      </c>
      <c r="L12" s="7" t="n">
        <f aca="false">'Player Builds'!U12</f>
        <v>0</v>
      </c>
      <c r="M12" s="7" t="n">
        <v>60</v>
      </c>
      <c r="N12" s="5" t="n">
        <f aca="false">Settings!B2</f>
        <v>100</v>
      </c>
      <c r="O12" s="9" t="n">
        <f aca="false">M12/(M12+N12)</f>
        <v>0.375</v>
      </c>
      <c r="P12" s="8" t="n">
        <f aca="false">MAX(1,ROUND('Player Builds'!AG12*(1-O12),0))</f>
        <v>408</v>
      </c>
      <c r="Q12" s="8" t="n">
        <v>12</v>
      </c>
      <c r="R12" s="8" t="n">
        <f aca="false">ROUNDUP(G12/P12,0)</f>
        <v>11</v>
      </c>
      <c r="S12" s="6" t="n">
        <f aca="false">Settings!B6</f>
        <v>0.75</v>
      </c>
      <c r="T12" s="10" t="n">
        <f aca="false">R12/S12</f>
        <v>14.6666666666667</v>
      </c>
      <c r="U12" s="6" t="str">
        <f aca="false">"No timer"</f>
        <v>No timer</v>
      </c>
      <c r="V12" s="11" t="n">
        <f aca="false">H12/R12</f>
        <v>290.909090909091</v>
      </c>
      <c r="W12" s="11" t="n">
        <f aca="false">'Player Builds'!AC12</f>
        <v>514</v>
      </c>
      <c r="X12" s="11" t="n">
        <f aca="false">'Player Builds'!AB12</f>
        <v>76</v>
      </c>
      <c r="Y12" s="11" t="n">
        <v>151</v>
      </c>
      <c r="Z12" s="12" t="n">
        <f aca="false">X12/(X12+N12)</f>
        <v>0.431818181818182</v>
      </c>
      <c r="AA12" s="13" t="n">
        <f aca="false">MAX(1,ROUND(Y12*(1-Z12),0))</f>
        <v>86</v>
      </c>
      <c r="AB12" s="13" t="n">
        <f aca="false">W12/AA12</f>
        <v>5.97674418604651</v>
      </c>
      <c r="AC12" s="13" t="n">
        <v>6</v>
      </c>
    </row>
    <row r="13" customFormat="false" ht="12.8" hidden="false" customHeight="false" outlineLevel="0" collapsed="false">
      <c r="A13" s="7" t="n">
        <v>12</v>
      </c>
      <c r="B13" s="7" t="s">
        <v>206</v>
      </c>
      <c r="C13" s="7" t="n">
        <v>72</v>
      </c>
      <c r="D13" s="7" t="s">
        <v>75</v>
      </c>
      <c r="E13" s="7" t="n">
        <v>8</v>
      </c>
      <c r="F13" s="7" t="s">
        <v>195</v>
      </c>
      <c r="G13" s="7" t="n">
        <v>4296</v>
      </c>
      <c r="H13" s="7" t="n">
        <v>3280</v>
      </c>
      <c r="I13" s="7" t="n">
        <v>0</v>
      </c>
      <c r="J13" s="7" t="n">
        <f aca="false">'Player Builds'!AF13</f>
        <v>286</v>
      </c>
      <c r="K13" s="5" t="n">
        <f aca="false">'Player Builds'!AE13</f>
        <v>2.363</v>
      </c>
      <c r="L13" s="7" t="n">
        <f aca="false">'Player Builds'!U13</f>
        <v>0</v>
      </c>
      <c r="M13" s="7" t="n">
        <v>65</v>
      </c>
      <c r="N13" s="5" t="n">
        <f aca="false">Settings!B2</f>
        <v>100</v>
      </c>
      <c r="O13" s="9" t="n">
        <f aca="false">M13/(M13+N13)</f>
        <v>0.393939393939394</v>
      </c>
      <c r="P13" s="8" t="n">
        <f aca="false">MAX(1,ROUND('Player Builds'!AG13*(1-O13),0))</f>
        <v>410</v>
      </c>
      <c r="Q13" s="8" t="n">
        <v>12</v>
      </c>
      <c r="R13" s="8" t="n">
        <f aca="false">ROUNDUP(G13/P13,0)</f>
        <v>11</v>
      </c>
      <c r="S13" s="6" t="n">
        <f aca="false">Settings!B6</f>
        <v>0.75</v>
      </c>
      <c r="T13" s="10" t="n">
        <f aca="false">R13/S13</f>
        <v>14.6666666666667</v>
      </c>
      <c r="U13" s="6" t="str">
        <f aca="false">"No timer"</f>
        <v>No timer</v>
      </c>
      <c r="V13" s="11" t="n">
        <f aca="false">H13/R13</f>
        <v>298.181818181818</v>
      </c>
      <c r="W13" s="11" t="n">
        <f aca="false">'Player Builds'!AC13</f>
        <v>538</v>
      </c>
      <c r="X13" s="11" t="n">
        <f aca="false">'Player Builds'!AB13</f>
        <v>81</v>
      </c>
      <c r="Y13" s="11" t="n">
        <v>163</v>
      </c>
      <c r="Z13" s="12" t="n">
        <f aca="false">X13/(X13+N13)</f>
        <v>0.447513812154696</v>
      </c>
      <c r="AA13" s="13" t="n">
        <f aca="false">MAX(1,ROUND(Y13*(1-Z13),0))</f>
        <v>90</v>
      </c>
      <c r="AB13" s="13" t="n">
        <f aca="false">W13/AA13</f>
        <v>5.97777777777778</v>
      </c>
      <c r="AC13" s="13" t="n">
        <v>6</v>
      </c>
    </row>
    <row r="14" customFormat="false" ht="12.8" hidden="false" customHeight="false" outlineLevel="0" collapsed="false">
      <c r="A14" s="7" t="n">
        <v>13</v>
      </c>
      <c r="B14" s="7" t="s">
        <v>207</v>
      </c>
      <c r="C14" s="7" t="n">
        <v>76</v>
      </c>
      <c r="D14" s="7" t="s">
        <v>76</v>
      </c>
      <c r="E14" s="7" t="n">
        <v>8</v>
      </c>
      <c r="F14" s="7" t="s">
        <v>195</v>
      </c>
      <c r="G14" s="7" t="n">
        <v>4320</v>
      </c>
      <c r="H14" s="7" t="n">
        <v>3360</v>
      </c>
      <c r="I14" s="7" t="n">
        <v>0</v>
      </c>
      <c r="J14" s="7" t="n">
        <f aca="false">'Player Builds'!AF14</f>
        <v>286</v>
      </c>
      <c r="K14" s="5" t="n">
        <f aca="false">'Player Builds'!AE14</f>
        <v>2.4495</v>
      </c>
      <c r="L14" s="7" t="n">
        <f aca="false">'Player Builds'!U14</f>
        <v>0</v>
      </c>
      <c r="M14" s="7" t="n">
        <v>70</v>
      </c>
      <c r="N14" s="5" t="n">
        <f aca="false">Settings!B2</f>
        <v>100</v>
      </c>
      <c r="O14" s="9" t="n">
        <f aca="false">M14/(M14+N14)</f>
        <v>0.411764705882353</v>
      </c>
      <c r="P14" s="8" t="n">
        <f aca="false">MAX(1,ROUND('Player Builds'!AG14*(1-O14),0))</f>
        <v>412</v>
      </c>
      <c r="Q14" s="8" t="n">
        <v>12</v>
      </c>
      <c r="R14" s="8" t="n">
        <f aca="false">ROUNDUP(G14/P14,0)</f>
        <v>11</v>
      </c>
      <c r="S14" s="6" t="n">
        <f aca="false">Settings!B6</f>
        <v>0.75</v>
      </c>
      <c r="T14" s="10" t="n">
        <f aca="false">R14/S14</f>
        <v>14.6666666666667</v>
      </c>
      <c r="U14" s="6" t="str">
        <f aca="false">"No timer"</f>
        <v>No timer</v>
      </c>
      <c r="V14" s="11" t="n">
        <f aca="false">H14/R14</f>
        <v>305.454545454545</v>
      </c>
      <c r="W14" s="11" t="n">
        <f aca="false">'Player Builds'!AC14</f>
        <v>566</v>
      </c>
      <c r="X14" s="11" t="n">
        <f aca="false">'Player Builds'!AB14</f>
        <v>86</v>
      </c>
      <c r="Y14" s="11" t="n">
        <v>177</v>
      </c>
      <c r="Z14" s="12" t="n">
        <f aca="false">X14/(X14+N14)</f>
        <v>0.462365591397849</v>
      </c>
      <c r="AA14" s="13" t="n">
        <f aca="false">MAX(1,ROUND(Y14*(1-Z14),0))</f>
        <v>95</v>
      </c>
      <c r="AB14" s="13" t="n">
        <f aca="false">W14/AA14</f>
        <v>5.95789473684211</v>
      </c>
      <c r="AC14" s="13" t="n">
        <v>6</v>
      </c>
    </row>
    <row r="15" customFormat="false" ht="12.8" hidden="false" customHeight="false" outlineLevel="0" collapsed="false">
      <c r="A15" s="7" t="n">
        <v>14</v>
      </c>
      <c r="B15" s="7" t="s">
        <v>208</v>
      </c>
      <c r="C15" s="7" t="n">
        <v>80</v>
      </c>
      <c r="D15" s="7" t="s">
        <v>77</v>
      </c>
      <c r="E15" s="7" t="n">
        <v>8</v>
      </c>
      <c r="F15" s="7" t="s">
        <v>195</v>
      </c>
      <c r="G15" s="7" t="n">
        <v>4344</v>
      </c>
      <c r="H15" s="7" t="n">
        <v>3440</v>
      </c>
      <c r="I15" s="7" t="n">
        <v>0</v>
      </c>
      <c r="J15" s="7" t="n">
        <f aca="false">'Player Builds'!AF15</f>
        <v>286</v>
      </c>
      <c r="K15" s="5" t="n">
        <f aca="false">'Player Builds'!AE15</f>
        <v>2.531</v>
      </c>
      <c r="L15" s="7" t="n">
        <f aca="false">'Player Builds'!U15</f>
        <v>0</v>
      </c>
      <c r="M15" s="7" t="n">
        <v>75</v>
      </c>
      <c r="N15" s="5" t="n">
        <f aca="false">Settings!B2</f>
        <v>100</v>
      </c>
      <c r="O15" s="9" t="n">
        <f aca="false">M15/(M15+N15)</f>
        <v>0.428571428571429</v>
      </c>
      <c r="P15" s="8" t="n">
        <f aca="false">MAX(1,ROUND('Player Builds'!AG15*(1-O15),0))</f>
        <v>414</v>
      </c>
      <c r="Q15" s="8" t="n">
        <v>12</v>
      </c>
      <c r="R15" s="8" t="n">
        <f aca="false">ROUNDUP(G15/P15,0)</f>
        <v>11</v>
      </c>
      <c r="S15" s="6" t="n">
        <f aca="false">Settings!B6</f>
        <v>0.75</v>
      </c>
      <c r="T15" s="10" t="n">
        <f aca="false">R15/S15</f>
        <v>14.6666666666667</v>
      </c>
      <c r="U15" s="6" t="str">
        <f aca="false">"No timer"</f>
        <v>No timer</v>
      </c>
      <c r="V15" s="11" t="n">
        <f aca="false">H15/R15</f>
        <v>312.727272727273</v>
      </c>
      <c r="W15" s="11" t="n">
        <f aca="false">'Player Builds'!AC15</f>
        <v>594</v>
      </c>
      <c r="X15" s="11" t="n">
        <f aca="false">'Player Builds'!AB15</f>
        <v>89</v>
      </c>
      <c r="Y15" s="11" t="n">
        <v>187</v>
      </c>
      <c r="Z15" s="12" t="n">
        <f aca="false">X15/(X15+N15)</f>
        <v>0.470899470899471</v>
      </c>
      <c r="AA15" s="13" t="n">
        <f aca="false">MAX(1,ROUND(Y15*(1-Z15),0))</f>
        <v>99</v>
      </c>
      <c r="AB15" s="13" t="n">
        <f aca="false">W15/AA15</f>
        <v>6</v>
      </c>
      <c r="AC15" s="13" t="n">
        <v>6</v>
      </c>
    </row>
    <row r="16" customFormat="false" ht="12.8" hidden="false" customHeight="false" outlineLevel="0" collapsed="false">
      <c r="A16" s="7" t="n">
        <v>15</v>
      </c>
      <c r="B16" s="7" t="s">
        <v>209</v>
      </c>
      <c r="C16" s="7" t="n">
        <v>85</v>
      </c>
      <c r="D16" s="7" t="s">
        <v>78</v>
      </c>
      <c r="E16" s="7" t="n">
        <v>8</v>
      </c>
      <c r="F16" s="7" t="s">
        <v>195</v>
      </c>
      <c r="G16" s="7" t="n">
        <v>4380</v>
      </c>
      <c r="H16" s="7" t="n">
        <v>3540</v>
      </c>
      <c r="I16" s="7" t="n">
        <v>0</v>
      </c>
      <c r="J16" s="7" t="n">
        <f aca="false">'Player Builds'!AF16</f>
        <v>286</v>
      </c>
      <c r="K16" s="5" t="n">
        <f aca="false">'Player Builds'!AE16</f>
        <v>2.629</v>
      </c>
      <c r="L16" s="7" t="n">
        <f aca="false">'Player Builds'!U16</f>
        <v>0</v>
      </c>
      <c r="M16" s="7" t="n">
        <v>80</v>
      </c>
      <c r="N16" s="5" t="n">
        <f aca="false">Settings!B2</f>
        <v>100</v>
      </c>
      <c r="O16" s="9" t="n">
        <f aca="false">M16/(M16+N16)</f>
        <v>0.444444444444444</v>
      </c>
      <c r="P16" s="8" t="n">
        <f aca="false">MAX(1,ROUND('Player Builds'!AG16*(1-O16),0))</f>
        <v>418</v>
      </c>
      <c r="Q16" s="8" t="n">
        <v>12</v>
      </c>
      <c r="R16" s="8" t="n">
        <f aca="false">ROUNDUP(G16/P16,0)</f>
        <v>11</v>
      </c>
      <c r="S16" s="6" t="n">
        <f aca="false">Settings!B6</f>
        <v>0.75</v>
      </c>
      <c r="T16" s="10" t="n">
        <f aca="false">R16/S16</f>
        <v>14.6666666666667</v>
      </c>
      <c r="U16" s="6" t="str">
        <f aca="false">"No timer"</f>
        <v>No timer</v>
      </c>
      <c r="V16" s="11" t="n">
        <f aca="false">H16/R16</f>
        <v>321.818181818182</v>
      </c>
      <c r="W16" s="11" t="n">
        <f aca="false">'Player Builds'!AC16</f>
        <v>622</v>
      </c>
      <c r="X16" s="11" t="n">
        <f aca="false">'Player Builds'!AB16</f>
        <v>95</v>
      </c>
      <c r="Y16" s="11" t="n">
        <v>203</v>
      </c>
      <c r="Z16" s="12" t="n">
        <f aca="false">X16/(X16+N16)</f>
        <v>0.487179487179487</v>
      </c>
      <c r="AA16" s="13" t="n">
        <f aca="false">MAX(1,ROUND(Y16*(1-Z16),0))</f>
        <v>104</v>
      </c>
      <c r="AB16" s="13" t="n">
        <f aca="false">W16/AA16</f>
        <v>5.98076923076923</v>
      </c>
      <c r="AC16" s="13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2026-09-24T23:10:10Z</dcterms:created>
  <dc:creator/>
  <dc:description/>
  <dc:language>en-US</dc:language>
  <cp:lastModifiedBy/>
  <dcterms:modified xsi:type="dcterms:W3CDTF">2026-09-24T23:10:22Z</dcterms:modified>
  <cp:revision>1</cp:revision>
  <dc:subject/>
  <dc:title/>
</cp:coreProperties>
</file>